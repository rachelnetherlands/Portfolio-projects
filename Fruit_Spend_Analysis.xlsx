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Data" sheetId="3" state="visible" r:id="rId5"/>
    <sheet name="Spend_Cube" sheetId="4" state="visible" r:id="rId6"/>
    <sheet name="Monthly_Trend" sheetId="5" state="visible" r:id="rId7"/>
    <sheet name="Pareto" sheetId="6" state="visible" r:id="rId8"/>
    <sheet name="Kraljic" sheetId="7" state="visible" r:id="rId9"/>
    <sheet name="Supplier_Scorecard" sheetId="8" state="visible" r:id="rId10"/>
  </sheets>
  <definedNames>
    <definedName function="false" hidden="true" localSheetId="2" name="_xlnm._FilterDatabase" vbProcedure="false">Data!$A$1:$N$1201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3" authorId="0">
      <text>
        <r>
          <rPr>
            <sz val="10"/>
            <rFont val="Arial"/>
            <family val="2"/>
          </rPr>
          <t xml:space="preserve">Assumption: 1/8 = equal share across 8 fruits</t>
        </r>
      </text>
    </comment>
  </commentList>
</comments>
</file>

<file path=xl/sharedStrings.xml><?xml version="1.0" encoding="utf-8"?>
<sst xmlns="http://schemas.openxmlformats.org/spreadsheetml/2006/main" count="4944" uniqueCount="1302">
  <si>
    <t xml:space="preserve">Fruit Category Spend Analysis: practice workbook</t>
  </si>
  <si>
    <t xml:space="preserve">DATA: SYNTHETIC. 1,200 purchase-order lines (FY2025), 10 suppliers, 8 fruits, generated to mirror the structure of the Kaggle 'Procurement KPI Analysis Dataset' (shahriarkabir).</t>
  </si>
  <si>
    <t xml:space="preserve">Prices, suppliers and performance are fictional but realistic (seasonality, origin mix). Do not cite as real market data.</t>
  </si>
  <si>
    <t xml:space="preserve">Sheets: Dashboard (KPIs + chart) · Data (raw POs) · Spend_Cube (supplier×fruit) · Monthly_Trend · Pareto (80/20) · Kraljic (portfolio) · Supplier_Scorecard</t>
  </si>
  <si>
    <t xml:space="preserve">Colour code: blue = hardcoded inputs you can change · black = formulas · green = cross-sheet links.</t>
  </si>
  <si>
    <t xml:space="preserve">To use real data: paste Kaggle/your company data into the Data sheet with the same columns (A–N); all analysis sheets recalculate.</t>
  </si>
  <si>
    <t xml:space="preserve">Example row format: PO-25002 | 2025-01-02 | Bananas | Ecuador Banana Co | Ecuador | 800 | €16.40 | €15.90 | 1 | 1.2%</t>
  </si>
  <si>
    <t xml:space="preserve">Fruit category spend dashboard: FY2025</t>
  </si>
  <si>
    <t xml:space="preserve">Total spend</t>
  </si>
  <si>
    <t xml:space="preserve"># POs</t>
  </si>
  <si>
    <t xml:space="preserve"># Suppliers</t>
  </si>
  <si>
    <t xml:space="preserve">Paid above market</t>
  </si>
  <si>
    <t xml:space="preserve">Price vs market %</t>
  </si>
  <si>
    <t xml:space="preserve">Overall OTIF</t>
  </si>
  <si>
    <t xml:space="preserve">Top-3 supplier share</t>
  </si>
  <si>
    <t xml:space="preserve">Avg defect rate</t>
  </si>
  <si>
    <t xml:space="preserve">Key insights (update after reviewing):</t>
  </si>
  <si>
    <t xml:space="preserve">• Bananas are 24% of spend (Leverage → tender for price); avocados and berries are Strategic (secure supply, partner).</t>
  </si>
  <si>
    <t xml:space="preserve">• Kenya Agro (−5.7% vs market) and Michoacan Avocado (−2.8%) are cheapest but weakest on OTIF/quality → total-cost review; Kenya rated Review/Exit.</t>
  </si>
  <si>
    <t xml:space="preserve">• Tyrol Apple Coop and Huelva Berries pay ~5% above market → renegotiation candidates.</t>
  </si>
  <si>
    <t xml:space="preserve">PO_ID</t>
  </si>
  <si>
    <t xml:space="preserve">Order_Date</t>
  </si>
  <si>
    <t xml:space="preserve">Month</t>
  </si>
  <si>
    <t xml:space="preserve">Fruit</t>
  </si>
  <si>
    <t xml:space="preserve">Supplier</t>
  </si>
  <si>
    <t xml:space="preserve">Origin</t>
  </si>
  <si>
    <t xml:space="preserve">Qty_Boxes</t>
  </si>
  <si>
    <t xml:space="preserve">Unit_Price_EUR</t>
  </si>
  <si>
    <t xml:space="preserve">Market_Price_EUR</t>
  </si>
  <si>
    <t xml:space="preserve">Spend_EUR</t>
  </si>
  <si>
    <t xml:space="preserve">Price_Var_EUR</t>
  </si>
  <si>
    <t xml:space="preserve">Price_Var_%</t>
  </si>
  <si>
    <t xml:space="preserve">On_Time (1/0)</t>
  </si>
  <si>
    <t xml:space="preserve">Defect_Rate</t>
  </si>
  <si>
    <t xml:space="preserve">PO-25002</t>
  </si>
  <si>
    <t xml:space="preserve">Bananas</t>
  </si>
  <si>
    <t xml:space="preserve">AgroCosta Rica</t>
  </si>
  <si>
    <t xml:space="preserve">Costa Rica</t>
  </si>
  <si>
    <t xml:space="preserve">PO-25003</t>
  </si>
  <si>
    <t xml:space="preserve">Apples</t>
  </si>
  <si>
    <t xml:space="preserve">Chile Fruit Alliance</t>
  </si>
  <si>
    <t xml:space="preserve">Chile</t>
  </si>
  <si>
    <t xml:space="preserve">PO-25004</t>
  </si>
  <si>
    <t xml:space="preserve">Ecuador Banana Co</t>
  </si>
  <si>
    <t xml:space="preserve">Ecuador</t>
  </si>
  <si>
    <t xml:space="preserve">PO-25005</t>
  </si>
  <si>
    <t xml:space="preserve">Tyrol Apple Coop</t>
  </si>
  <si>
    <t xml:space="preserve">Italy</t>
  </si>
  <si>
    <t xml:space="preserve">PO-25006</t>
  </si>
  <si>
    <t xml:space="preserve">Cape Fruit Exporters</t>
  </si>
  <si>
    <t xml:space="preserve">South Africa</t>
  </si>
  <si>
    <t xml:space="preserve">PO-25007</t>
  </si>
  <si>
    <t xml:space="preserve">PO-25008</t>
  </si>
  <si>
    <t xml:space="preserve">Oranges</t>
  </si>
  <si>
    <t xml:space="preserve">Valencia Citrus SA</t>
  </si>
  <si>
    <t xml:space="preserve">Spain</t>
  </si>
  <si>
    <t xml:space="preserve">PO-25009</t>
  </si>
  <si>
    <t xml:space="preserve">PO-25010</t>
  </si>
  <si>
    <t xml:space="preserve">Berries</t>
  </si>
  <si>
    <t xml:space="preserve">Huelva Berries</t>
  </si>
  <si>
    <t xml:space="preserve">PO-25011</t>
  </si>
  <si>
    <t xml:space="preserve">Pineapples</t>
  </si>
  <si>
    <t xml:space="preserve">PO-25012</t>
  </si>
  <si>
    <t xml:space="preserve">PO-25013</t>
  </si>
  <si>
    <t xml:space="preserve">PO-25014</t>
  </si>
  <si>
    <t xml:space="preserve">PO-25015</t>
  </si>
  <si>
    <t xml:space="preserve">PO-25016</t>
  </si>
  <si>
    <t xml:space="preserve">PO-25017</t>
  </si>
  <si>
    <t xml:space="preserve">PO-25018</t>
  </si>
  <si>
    <t xml:space="preserve">PO-25019</t>
  </si>
  <si>
    <t xml:space="preserve">PO-25020</t>
  </si>
  <si>
    <t xml:space="preserve">PO-25021</t>
  </si>
  <si>
    <t xml:space="preserve">PO-25022</t>
  </si>
  <si>
    <t xml:space="preserve">PO-25023</t>
  </si>
  <si>
    <t xml:space="preserve">PO-25024</t>
  </si>
  <si>
    <t xml:space="preserve">Grapes</t>
  </si>
  <si>
    <t xml:space="preserve">Andes Fresh</t>
  </si>
  <si>
    <t xml:space="preserve">Peru</t>
  </si>
  <si>
    <t xml:space="preserve">PO-25025</t>
  </si>
  <si>
    <t xml:space="preserve">PO-25026</t>
  </si>
  <si>
    <t xml:space="preserve">Avocados</t>
  </si>
  <si>
    <t xml:space="preserve">Michoacan Avocado</t>
  </si>
  <si>
    <t xml:space="preserve">Mexico</t>
  </si>
  <si>
    <t xml:space="preserve">PO-25027</t>
  </si>
  <si>
    <t xml:space="preserve">PO-25028</t>
  </si>
  <si>
    <t xml:space="preserve">PO-25029</t>
  </si>
  <si>
    <t xml:space="preserve">PO-25030</t>
  </si>
  <si>
    <t xml:space="preserve">PO-25031</t>
  </si>
  <si>
    <t xml:space="preserve">PO-25032</t>
  </si>
  <si>
    <t xml:space="preserve">PO-25033</t>
  </si>
  <si>
    <t xml:space="preserve">PO-25034</t>
  </si>
  <si>
    <t xml:space="preserve">PO-25035</t>
  </si>
  <si>
    <t xml:space="preserve">Kenya Agro</t>
  </si>
  <si>
    <t xml:space="preserve">Kenya</t>
  </si>
  <si>
    <t xml:space="preserve">PO-25036</t>
  </si>
  <si>
    <t xml:space="preserve">PO-25037</t>
  </si>
  <si>
    <t xml:space="preserve">PO-25038</t>
  </si>
  <si>
    <t xml:space="preserve">PO-25039</t>
  </si>
  <si>
    <t xml:space="preserve">PO-25040</t>
  </si>
  <si>
    <t xml:space="preserve">PO-25041</t>
  </si>
  <si>
    <t xml:space="preserve">PO-25042</t>
  </si>
  <si>
    <t xml:space="preserve">PO-25043</t>
  </si>
  <si>
    <t xml:space="preserve">PO-25044</t>
  </si>
  <si>
    <t xml:space="preserve">PO-25045</t>
  </si>
  <si>
    <t xml:space="preserve">PO-25046</t>
  </si>
  <si>
    <t xml:space="preserve">PO-25047</t>
  </si>
  <si>
    <t xml:space="preserve">PO-25048</t>
  </si>
  <si>
    <t xml:space="preserve">PO-25049</t>
  </si>
  <si>
    <t xml:space="preserve">PO-25050</t>
  </si>
  <si>
    <t xml:space="preserve">PO-25051</t>
  </si>
  <si>
    <t xml:space="preserve">PO-25052</t>
  </si>
  <si>
    <t xml:space="preserve">Mangoes</t>
  </si>
  <si>
    <t xml:space="preserve">PO-25053</t>
  </si>
  <si>
    <t xml:space="preserve">PO-25054</t>
  </si>
  <si>
    <t xml:space="preserve">PO-25055</t>
  </si>
  <si>
    <t xml:space="preserve">PO-25056</t>
  </si>
  <si>
    <t xml:space="preserve">PO-25057</t>
  </si>
  <si>
    <t xml:space="preserve">PO-25058</t>
  </si>
  <si>
    <t xml:space="preserve">PO-25059</t>
  </si>
  <si>
    <t xml:space="preserve">PO-25060</t>
  </si>
  <si>
    <t xml:space="preserve">PO-25061</t>
  </si>
  <si>
    <t xml:space="preserve">PO-25062</t>
  </si>
  <si>
    <t xml:space="preserve">PO-25063</t>
  </si>
  <si>
    <t xml:space="preserve">PO-25064</t>
  </si>
  <si>
    <t xml:space="preserve">PO-25065</t>
  </si>
  <si>
    <t xml:space="preserve">PO-25066</t>
  </si>
  <si>
    <t xml:space="preserve">PO-25067</t>
  </si>
  <si>
    <t xml:space="preserve">PO-25068</t>
  </si>
  <si>
    <t xml:space="preserve">PO-25069</t>
  </si>
  <si>
    <t xml:space="preserve">PO-25070</t>
  </si>
  <si>
    <t xml:space="preserve">PO-25071</t>
  </si>
  <si>
    <t xml:space="preserve">PO-25072</t>
  </si>
  <si>
    <t xml:space="preserve">PO-25073</t>
  </si>
  <si>
    <t xml:space="preserve">PO-25074</t>
  </si>
  <si>
    <t xml:space="preserve">PO-25075</t>
  </si>
  <si>
    <t xml:space="preserve">PO-25076</t>
  </si>
  <si>
    <t xml:space="preserve">PO-25077</t>
  </si>
  <si>
    <t xml:space="preserve">PO-25078</t>
  </si>
  <si>
    <t xml:space="preserve">PO-25079</t>
  </si>
  <si>
    <t xml:space="preserve">PO-25080</t>
  </si>
  <si>
    <t xml:space="preserve">PO-25081</t>
  </si>
  <si>
    <t xml:space="preserve">PO-25082</t>
  </si>
  <si>
    <t xml:space="preserve">PO-25083</t>
  </si>
  <si>
    <t xml:space="preserve">PO-25084</t>
  </si>
  <si>
    <t xml:space="preserve">PO-25085</t>
  </si>
  <si>
    <t xml:space="preserve">PO-25086</t>
  </si>
  <si>
    <t xml:space="preserve">PO-25087</t>
  </si>
  <si>
    <t xml:space="preserve">PO-25088</t>
  </si>
  <si>
    <t xml:space="preserve">PO-25089</t>
  </si>
  <si>
    <t xml:space="preserve">PO-25090</t>
  </si>
  <si>
    <t xml:space="preserve">PO-25091</t>
  </si>
  <si>
    <t xml:space="preserve">PO-25092</t>
  </si>
  <si>
    <t xml:space="preserve">PO-25093</t>
  </si>
  <si>
    <t xml:space="preserve">PO-25094</t>
  </si>
  <si>
    <t xml:space="preserve">PO-25095</t>
  </si>
  <si>
    <t xml:space="preserve">PO-25096</t>
  </si>
  <si>
    <t xml:space="preserve">PO-25097</t>
  </si>
  <si>
    <t xml:space="preserve">PO-25098</t>
  </si>
  <si>
    <t xml:space="preserve">PO-25099</t>
  </si>
  <si>
    <t xml:space="preserve">PO-25100</t>
  </si>
  <si>
    <t xml:space="preserve">PO-25101</t>
  </si>
  <si>
    <t xml:space="preserve">PO-25102</t>
  </si>
  <si>
    <t xml:space="preserve">PO-25103</t>
  </si>
  <si>
    <t xml:space="preserve">PO-25104</t>
  </si>
  <si>
    <t xml:space="preserve">PO-25105</t>
  </si>
  <si>
    <t xml:space="preserve">PO-25106</t>
  </si>
  <si>
    <t xml:space="preserve">PO-25107</t>
  </si>
  <si>
    <t xml:space="preserve">PO-25108</t>
  </si>
  <si>
    <t xml:space="preserve">PO-25109</t>
  </si>
  <si>
    <t xml:space="preserve">PO-25110</t>
  </si>
  <si>
    <t xml:space="preserve">PO-25111</t>
  </si>
  <si>
    <t xml:space="preserve">PO-25112</t>
  </si>
  <si>
    <t xml:space="preserve">PO-25113</t>
  </si>
  <si>
    <t xml:space="preserve">PO-25114</t>
  </si>
  <si>
    <t xml:space="preserve">PO-25115</t>
  </si>
  <si>
    <t xml:space="preserve">PO-25116</t>
  </si>
  <si>
    <t xml:space="preserve">PO-25117</t>
  </si>
  <si>
    <t xml:space="preserve">PO-25118</t>
  </si>
  <si>
    <t xml:space="preserve">PO-25119</t>
  </si>
  <si>
    <t xml:space="preserve">PO-25120</t>
  </si>
  <si>
    <t xml:space="preserve">PO-25121</t>
  </si>
  <si>
    <t xml:space="preserve">PO-25122</t>
  </si>
  <si>
    <t xml:space="preserve">PO-25123</t>
  </si>
  <si>
    <t xml:space="preserve">PO-25124</t>
  </si>
  <si>
    <t xml:space="preserve">PO-25125</t>
  </si>
  <si>
    <t xml:space="preserve">PO-25126</t>
  </si>
  <si>
    <t xml:space="preserve">PO-25127</t>
  </si>
  <si>
    <t xml:space="preserve">PO-25128</t>
  </si>
  <si>
    <t xml:space="preserve">PO-25129</t>
  </si>
  <si>
    <t xml:space="preserve">PO-25130</t>
  </si>
  <si>
    <t xml:space="preserve">PO-25131</t>
  </si>
  <si>
    <t xml:space="preserve">PO-25132</t>
  </si>
  <si>
    <t xml:space="preserve">PO-25133</t>
  </si>
  <si>
    <t xml:space="preserve">PO-25134</t>
  </si>
  <si>
    <t xml:space="preserve">PO-25135</t>
  </si>
  <si>
    <t xml:space="preserve">PO-25136</t>
  </si>
  <si>
    <t xml:space="preserve">PO-25137</t>
  </si>
  <si>
    <t xml:space="preserve">PO-25138</t>
  </si>
  <si>
    <t xml:space="preserve">PO-25139</t>
  </si>
  <si>
    <t xml:space="preserve">PO-25140</t>
  </si>
  <si>
    <t xml:space="preserve">PO-25141</t>
  </si>
  <si>
    <t xml:space="preserve">PO-25142</t>
  </si>
  <si>
    <t xml:space="preserve">PO-25143</t>
  </si>
  <si>
    <t xml:space="preserve">PO-25144</t>
  </si>
  <si>
    <t xml:space="preserve">PO-25145</t>
  </si>
  <si>
    <t xml:space="preserve">PO-25146</t>
  </si>
  <si>
    <t xml:space="preserve">PO-25147</t>
  </si>
  <si>
    <t xml:space="preserve">PO-25148</t>
  </si>
  <si>
    <t xml:space="preserve">PO-25149</t>
  </si>
  <si>
    <t xml:space="preserve">PO-25150</t>
  </si>
  <si>
    <t xml:space="preserve">PO-25151</t>
  </si>
  <si>
    <t xml:space="preserve">PO-25152</t>
  </si>
  <si>
    <t xml:space="preserve">PO-25153</t>
  </si>
  <si>
    <t xml:space="preserve">PO-25154</t>
  </si>
  <si>
    <t xml:space="preserve">PO-25155</t>
  </si>
  <si>
    <t xml:space="preserve">PO-25156</t>
  </si>
  <si>
    <t xml:space="preserve">PO-25157</t>
  </si>
  <si>
    <t xml:space="preserve">PO-25158</t>
  </si>
  <si>
    <t xml:space="preserve">PO-25159</t>
  </si>
  <si>
    <t xml:space="preserve">PO-25160</t>
  </si>
  <si>
    <t xml:space="preserve">PO-25161</t>
  </si>
  <si>
    <t xml:space="preserve">PO-25162</t>
  </si>
  <si>
    <t xml:space="preserve">PO-25163</t>
  </si>
  <si>
    <t xml:space="preserve">PO-25164</t>
  </si>
  <si>
    <t xml:space="preserve">PO-25165</t>
  </si>
  <si>
    <t xml:space="preserve">PO-25166</t>
  </si>
  <si>
    <t xml:space="preserve">PO-25167</t>
  </si>
  <si>
    <t xml:space="preserve">PO-25168</t>
  </si>
  <si>
    <t xml:space="preserve">PO-25169</t>
  </si>
  <si>
    <t xml:space="preserve">PO-25170</t>
  </si>
  <si>
    <t xml:space="preserve">PO-25171</t>
  </si>
  <si>
    <t xml:space="preserve">PO-25172</t>
  </si>
  <si>
    <t xml:space="preserve">PO-25173</t>
  </si>
  <si>
    <t xml:space="preserve">PO-25174</t>
  </si>
  <si>
    <t xml:space="preserve">PO-25175</t>
  </si>
  <si>
    <t xml:space="preserve">PO-25176</t>
  </si>
  <si>
    <t xml:space="preserve">PO-25177</t>
  </si>
  <si>
    <t xml:space="preserve">PO-25178</t>
  </si>
  <si>
    <t xml:space="preserve">PO-25179</t>
  </si>
  <si>
    <t xml:space="preserve">PO-25180</t>
  </si>
  <si>
    <t xml:space="preserve">PO-25181</t>
  </si>
  <si>
    <t xml:space="preserve">PO-25182</t>
  </si>
  <si>
    <t xml:space="preserve">PO-25183</t>
  </si>
  <si>
    <t xml:space="preserve">PO-25184</t>
  </si>
  <si>
    <t xml:space="preserve">PO-25185</t>
  </si>
  <si>
    <t xml:space="preserve">PO-25186</t>
  </si>
  <si>
    <t xml:space="preserve">PO-25187</t>
  </si>
  <si>
    <t xml:space="preserve">PO-25188</t>
  </si>
  <si>
    <t xml:space="preserve">PO-25189</t>
  </si>
  <si>
    <t xml:space="preserve">PO-25190</t>
  </si>
  <si>
    <t xml:space="preserve">PO-25191</t>
  </si>
  <si>
    <t xml:space="preserve">PO-25192</t>
  </si>
  <si>
    <t xml:space="preserve">PO-25193</t>
  </si>
  <si>
    <t xml:space="preserve">PO-25194</t>
  </si>
  <si>
    <t xml:space="preserve">PO-25195</t>
  </si>
  <si>
    <t xml:space="preserve">PO-25196</t>
  </si>
  <si>
    <t xml:space="preserve">PO-25197</t>
  </si>
  <si>
    <t xml:space="preserve">PO-25198</t>
  </si>
  <si>
    <t xml:space="preserve">PO-25199</t>
  </si>
  <si>
    <t xml:space="preserve">PO-25200</t>
  </si>
  <si>
    <t xml:space="preserve">PO-25201</t>
  </si>
  <si>
    <t xml:space="preserve">PO-25202</t>
  </si>
  <si>
    <t xml:space="preserve">PO-25203</t>
  </si>
  <si>
    <t xml:space="preserve">PO-25204</t>
  </si>
  <si>
    <t xml:space="preserve">PO-25205</t>
  </si>
  <si>
    <t xml:space="preserve">PO-25206</t>
  </si>
  <si>
    <t xml:space="preserve">PO-25207</t>
  </si>
  <si>
    <t xml:space="preserve">PO-25208</t>
  </si>
  <si>
    <t xml:space="preserve">PO-25209</t>
  </si>
  <si>
    <t xml:space="preserve">PO-25210</t>
  </si>
  <si>
    <t xml:space="preserve">PO-25211</t>
  </si>
  <si>
    <t xml:space="preserve">PO-25212</t>
  </si>
  <si>
    <t xml:space="preserve">PO-25213</t>
  </si>
  <si>
    <t xml:space="preserve">PO-25214</t>
  </si>
  <si>
    <t xml:space="preserve">PO-25215</t>
  </si>
  <si>
    <t xml:space="preserve">PO-25216</t>
  </si>
  <si>
    <t xml:space="preserve">PO-25217</t>
  </si>
  <si>
    <t xml:space="preserve">PO-25218</t>
  </si>
  <si>
    <t xml:space="preserve">PO-25219</t>
  </si>
  <si>
    <t xml:space="preserve">PO-25220</t>
  </si>
  <si>
    <t xml:space="preserve">PO-25221</t>
  </si>
  <si>
    <t xml:space="preserve">PO-25222</t>
  </si>
  <si>
    <t xml:space="preserve">PO-25223</t>
  </si>
  <si>
    <t xml:space="preserve">PO-25224</t>
  </si>
  <si>
    <t xml:space="preserve">PO-25225</t>
  </si>
  <si>
    <t xml:space="preserve">PO-25226</t>
  </si>
  <si>
    <t xml:space="preserve">PO-25227</t>
  </si>
  <si>
    <t xml:space="preserve">PO-25228</t>
  </si>
  <si>
    <t xml:space="preserve">PO-25229</t>
  </si>
  <si>
    <t xml:space="preserve">PO-25230</t>
  </si>
  <si>
    <t xml:space="preserve">PO-25231</t>
  </si>
  <si>
    <t xml:space="preserve">PO-25232</t>
  </si>
  <si>
    <t xml:space="preserve">PO-25233</t>
  </si>
  <si>
    <t xml:space="preserve">PO-25234</t>
  </si>
  <si>
    <t xml:space="preserve">PO-25235</t>
  </si>
  <si>
    <t xml:space="preserve">PO-25236</t>
  </si>
  <si>
    <t xml:space="preserve">PO-25237</t>
  </si>
  <si>
    <t xml:space="preserve">PO-25238</t>
  </si>
  <si>
    <t xml:space="preserve">PO-25239</t>
  </si>
  <si>
    <t xml:space="preserve">PO-25240</t>
  </si>
  <si>
    <t xml:space="preserve">PO-25241</t>
  </si>
  <si>
    <t xml:space="preserve">PO-25242</t>
  </si>
  <si>
    <t xml:space="preserve">PO-25243</t>
  </si>
  <si>
    <t xml:space="preserve">PO-25244</t>
  </si>
  <si>
    <t xml:space="preserve">PO-25245</t>
  </si>
  <si>
    <t xml:space="preserve">PO-25246</t>
  </si>
  <si>
    <t xml:space="preserve">PO-25247</t>
  </si>
  <si>
    <t xml:space="preserve">PO-25248</t>
  </si>
  <si>
    <t xml:space="preserve">PO-25249</t>
  </si>
  <si>
    <t xml:space="preserve">PO-25250</t>
  </si>
  <si>
    <t xml:space="preserve">PO-25251</t>
  </si>
  <si>
    <t xml:space="preserve">PO-25252</t>
  </si>
  <si>
    <t xml:space="preserve">PO-25253</t>
  </si>
  <si>
    <t xml:space="preserve">PO-25254</t>
  </si>
  <si>
    <t xml:space="preserve">PO-25255</t>
  </si>
  <si>
    <t xml:space="preserve">PO-25256</t>
  </si>
  <si>
    <t xml:space="preserve">PO-25257</t>
  </si>
  <si>
    <t xml:space="preserve">PO-25258</t>
  </si>
  <si>
    <t xml:space="preserve">PO-25259</t>
  </si>
  <si>
    <t xml:space="preserve">PO-25260</t>
  </si>
  <si>
    <t xml:space="preserve">PO-25261</t>
  </si>
  <si>
    <t xml:space="preserve">PO-25262</t>
  </si>
  <si>
    <t xml:space="preserve">PO-25263</t>
  </si>
  <si>
    <t xml:space="preserve">PO-25264</t>
  </si>
  <si>
    <t xml:space="preserve">PO-25265</t>
  </si>
  <si>
    <t xml:space="preserve">PO-25266</t>
  </si>
  <si>
    <t xml:space="preserve">PO-25267</t>
  </si>
  <si>
    <t xml:space="preserve">PO-25268</t>
  </si>
  <si>
    <t xml:space="preserve">PO-25269</t>
  </si>
  <si>
    <t xml:space="preserve">PO-25270</t>
  </si>
  <si>
    <t xml:space="preserve">PO-25271</t>
  </si>
  <si>
    <t xml:space="preserve">PO-25272</t>
  </si>
  <si>
    <t xml:space="preserve">PO-25273</t>
  </si>
  <si>
    <t xml:space="preserve">PO-25274</t>
  </si>
  <si>
    <t xml:space="preserve">PO-25275</t>
  </si>
  <si>
    <t xml:space="preserve">PO-25276</t>
  </si>
  <si>
    <t xml:space="preserve">PO-25277</t>
  </si>
  <si>
    <t xml:space="preserve">PO-25278</t>
  </si>
  <si>
    <t xml:space="preserve">PO-25279</t>
  </si>
  <si>
    <t xml:space="preserve">PO-25280</t>
  </si>
  <si>
    <t xml:space="preserve">PO-25281</t>
  </si>
  <si>
    <t xml:space="preserve">PO-25282</t>
  </si>
  <si>
    <t xml:space="preserve">PO-25283</t>
  </si>
  <si>
    <t xml:space="preserve">PO-25284</t>
  </si>
  <si>
    <t xml:space="preserve">PO-25285</t>
  </si>
  <si>
    <t xml:space="preserve">PO-25286</t>
  </si>
  <si>
    <t xml:space="preserve">PO-25287</t>
  </si>
  <si>
    <t xml:space="preserve">PO-25288</t>
  </si>
  <si>
    <t xml:space="preserve">PO-25289</t>
  </si>
  <si>
    <t xml:space="preserve">PO-25290</t>
  </si>
  <si>
    <t xml:space="preserve">PO-25291</t>
  </si>
  <si>
    <t xml:space="preserve">PO-25292</t>
  </si>
  <si>
    <t xml:space="preserve">PO-25293</t>
  </si>
  <si>
    <t xml:space="preserve">PO-25294</t>
  </si>
  <si>
    <t xml:space="preserve">PO-25295</t>
  </si>
  <si>
    <t xml:space="preserve">PO-25296</t>
  </si>
  <si>
    <t xml:space="preserve">PO-25297</t>
  </si>
  <si>
    <t xml:space="preserve">PO-25298</t>
  </si>
  <si>
    <t xml:space="preserve">PO-25299</t>
  </si>
  <si>
    <t xml:space="preserve">PO-25300</t>
  </si>
  <si>
    <t xml:space="preserve">PO-25301</t>
  </si>
  <si>
    <t xml:space="preserve">PO-25302</t>
  </si>
  <si>
    <t xml:space="preserve">PO-25303</t>
  </si>
  <si>
    <t xml:space="preserve">PO-25304</t>
  </si>
  <si>
    <t xml:space="preserve">PO-25305</t>
  </si>
  <si>
    <t xml:space="preserve">PO-25306</t>
  </si>
  <si>
    <t xml:space="preserve">PO-25307</t>
  </si>
  <si>
    <t xml:space="preserve">PO-25308</t>
  </si>
  <si>
    <t xml:space="preserve">PO-25309</t>
  </si>
  <si>
    <t xml:space="preserve">PO-25310</t>
  </si>
  <si>
    <t xml:space="preserve">PO-25311</t>
  </si>
  <si>
    <t xml:space="preserve">PO-25312</t>
  </si>
  <si>
    <t xml:space="preserve">PO-25313</t>
  </si>
  <si>
    <t xml:space="preserve">PO-25314</t>
  </si>
  <si>
    <t xml:space="preserve">PO-25315</t>
  </si>
  <si>
    <t xml:space="preserve">PO-25316</t>
  </si>
  <si>
    <t xml:space="preserve">PO-25317</t>
  </si>
  <si>
    <t xml:space="preserve">PO-25318</t>
  </si>
  <si>
    <t xml:space="preserve">PO-25319</t>
  </si>
  <si>
    <t xml:space="preserve">PO-25320</t>
  </si>
  <si>
    <t xml:space="preserve">PO-25321</t>
  </si>
  <si>
    <t xml:space="preserve">PO-25322</t>
  </si>
  <si>
    <t xml:space="preserve">PO-25323</t>
  </si>
  <si>
    <t xml:space="preserve">PO-25324</t>
  </si>
  <si>
    <t xml:space="preserve">PO-25325</t>
  </si>
  <si>
    <t xml:space="preserve">PO-25326</t>
  </si>
  <si>
    <t xml:space="preserve">PO-25327</t>
  </si>
  <si>
    <t xml:space="preserve">PO-25328</t>
  </si>
  <si>
    <t xml:space="preserve">PO-25329</t>
  </si>
  <si>
    <t xml:space="preserve">PO-25330</t>
  </si>
  <si>
    <t xml:space="preserve">PO-25331</t>
  </si>
  <si>
    <t xml:space="preserve">PO-25332</t>
  </si>
  <si>
    <t xml:space="preserve">PO-25333</t>
  </si>
  <si>
    <t xml:space="preserve">PO-25334</t>
  </si>
  <si>
    <t xml:space="preserve">PO-25335</t>
  </si>
  <si>
    <t xml:space="preserve">PO-25336</t>
  </si>
  <si>
    <t xml:space="preserve">PO-25337</t>
  </si>
  <si>
    <t xml:space="preserve">PO-25338</t>
  </si>
  <si>
    <t xml:space="preserve">PO-25339</t>
  </si>
  <si>
    <t xml:space="preserve">PO-25340</t>
  </si>
  <si>
    <t xml:space="preserve">PO-25341</t>
  </si>
  <si>
    <t xml:space="preserve">PO-25342</t>
  </si>
  <si>
    <t xml:space="preserve">PO-25343</t>
  </si>
  <si>
    <t xml:space="preserve">PO-25344</t>
  </si>
  <si>
    <t xml:space="preserve">PO-25345</t>
  </si>
  <si>
    <t xml:space="preserve">PO-25346</t>
  </si>
  <si>
    <t xml:space="preserve">PO-25347</t>
  </si>
  <si>
    <t xml:space="preserve">PO-25348</t>
  </si>
  <si>
    <t xml:space="preserve">PO-25349</t>
  </si>
  <si>
    <t xml:space="preserve">PO-25350</t>
  </si>
  <si>
    <t xml:space="preserve">PO-25351</t>
  </si>
  <si>
    <t xml:space="preserve">PO-25352</t>
  </si>
  <si>
    <t xml:space="preserve">PO-25353</t>
  </si>
  <si>
    <t xml:space="preserve">PO-25354</t>
  </si>
  <si>
    <t xml:space="preserve">PO-25355</t>
  </si>
  <si>
    <t xml:space="preserve">PO-25356</t>
  </si>
  <si>
    <t xml:space="preserve">PO-25357</t>
  </si>
  <si>
    <t xml:space="preserve">PO-25358</t>
  </si>
  <si>
    <t xml:space="preserve">PO-25359</t>
  </si>
  <si>
    <t xml:space="preserve">PO-25360</t>
  </si>
  <si>
    <t xml:space="preserve">PO-25361</t>
  </si>
  <si>
    <t xml:space="preserve">PO-25362</t>
  </si>
  <si>
    <t xml:space="preserve">PO-25363</t>
  </si>
  <si>
    <t xml:space="preserve">PO-25364</t>
  </si>
  <si>
    <t xml:space="preserve">PO-25365</t>
  </si>
  <si>
    <t xml:space="preserve">PO-25366</t>
  </si>
  <si>
    <t xml:space="preserve">PO-25367</t>
  </si>
  <si>
    <t xml:space="preserve">PO-25368</t>
  </si>
  <si>
    <t xml:space="preserve">PO-25369</t>
  </si>
  <si>
    <t xml:space="preserve">PO-25370</t>
  </si>
  <si>
    <t xml:space="preserve">PO-25371</t>
  </si>
  <si>
    <t xml:space="preserve">PO-25372</t>
  </si>
  <si>
    <t xml:space="preserve">PO-25373</t>
  </si>
  <si>
    <t xml:space="preserve">PO-25374</t>
  </si>
  <si>
    <t xml:space="preserve">PO-25375</t>
  </si>
  <si>
    <t xml:space="preserve">PO-25376</t>
  </si>
  <si>
    <t xml:space="preserve">PO-25377</t>
  </si>
  <si>
    <t xml:space="preserve">PO-25378</t>
  </si>
  <si>
    <t xml:space="preserve">PO-25379</t>
  </si>
  <si>
    <t xml:space="preserve">PO-25380</t>
  </si>
  <si>
    <t xml:space="preserve">PO-25381</t>
  </si>
  <si>
    <t xml:space="preserve">PO-25382</t>
  </si>
  <si>
    <t xml:space="preserve">PO-25383</t>
  </si>
  <si>
    <t xml:space="preserve">PO-25384</t>
  </si>
  <si>
    <t xml:space="preserve">PO-25385</t>
  </si>
  <si>
    <t xml:space="preserve">PO-25386</t>
  </si>
  <si>
    <t xml:space="preserve">PO-25387</t>
  </si>
  <si>
    <t xml:space="preserve">PO-25388</t>
  </si>
  <si>
    <t xml:space="preserve">PO-25389</t>
  </si>
  <si>
    <t xml:space="preserve">PO-25390</t>
  </si>
  <si>
    <t xml:space="preserve">PO-25391</t>
  </si>
  <si>
    <t xml:space="preserve">PO-25392</t>
  </si>
  <si>
    <t xml:space="preserve">PO-25393</t>
  </si>
  <si>
    <t xml:space="preserve">PO-25394</t>
  </si>
  <si>
    <t xml:space="preserve">PO-25395</t>
  </si>
  <si>
    <t xml:space="preserve">PO-25396</t>
  </si>
  <si>
    <t xml:space="preserve">PO-25397</t>
  </si>
  <si>
    <t xml:space="preserve">PO-25398</t>
  </si>
  <si>
    <t xml:space="preserve">PO-25399</t>
  </si>
  <si>
    <t xml:space="preserve">PO-25400</t>
  </si>
  <si>
    <t xml:space="preserve">PO-25401</t>
  </si>
  <si>
    <t xml:space="preserve">PO-25402</t>
  </si>
  <si>
    <t xml:space="preserve">PO-25403</t>
  </si>
  <si>
    <t xml:space="preserve">PO-25404</t>
  </si>
  <si>
    <t xml:space="preserve">PO-25405</t>
  </si>
  <si>
    <t xml:space="preserve">PO-25406</t>
  </si>
  <si>
    <t xml:space="preserve">PO-25407</t>
  </si>
  <si>
    <t xml:space="preserve">PO-25408</t>
  </si>
  <si>
    <t xml:space="preserve">PO-25409</t>
  </si>
  <si>
    <t xml:space="preserve">PO-25410</t>
  </si>
  <si>
    <t xml:space="preserve">PO-25411</t>
  </si>
  <si>
    <t xml:space="preserve">PO-25412</t>
  </si>
  <si>
    <t xml:space="preserve">PO-25413</t>
  </si>
  <si>
    <t xml:space="preserve">PO-25414</t>
  </si>
  <si>
    <t xml:space="preserve">PO-25415</t>
  </si>
  <si>
    <t xml:space="preserve">PO-25416</t>
  </si>
  <si>
    <t xml:space="preserve">PO-25417</t>
  </si>
  <si>
    <t xml:space="preserve">PO-25418</t>
  </si>
  <si>
    <t xml:space="preserve">PO-25419</t>
  </si>
  <si>
    <t xml:space="preserve">PO-25420</t>
  </si>
  <si>
    <t xml:space="preserve">PO-25421</t>
  </si>
  <si>
    <t xml:space="preserve">PO-25422</t>
  </si>
  <si>
    <t xml:space="preserve">PO-25423</t>
  </si>
  <si>
    <t xml:space="preserve">PO-25424</t>
  </si>
  <si>
    <t xml:space="preserve">PO-25425</t>
  </si>
  <si>
    <t xml:space="preserve">PO-25426</t>
  </si>
  <si>
    <t xml:space="preserve">PO-25427</t>
  </si>
  <si>
    <t xml:space="preserve">PO-25428</t>
  </si>
  <si>
    <t xml:space="preserve">PO-25429</t>
  </si>
  <si>
    <t xml:space="preserve">PO-25430</t>
  </si>
  <si>
    <t xml:space="preserve">PO-25431</t>
  </si>
  <si>
    <t xml:space="preserve">PO-25432</t>
  </si>
  <si>
    <t xml:space="preserve">PO-25433</t>
  </si>
  <si>
    <t xml:space="preserve">PO-25434</t>
  </si>
  <si>
    <t xml:space="preserve">PO-25435</t>
  </si>
  <si>
    <t xml:space="preserve">PO-25436</t>
  </si>
  <si>
    <t xml:space="preserve">PO-25437</t>
  </si>
  <si>
    <t xml:space="preserve">PO-25438</t>
  </si>
  <si>
    <t xml:space="preserve">PO-25439</t>
  </si>
  <si>
    <t xml:space="preserve">PO-25440</t>
  </si>
  <si>
    <t xml:space="preserve">PO-25441</t>
  </si>
  <si>
    <t xml:space="preserve">PO-25442</t>
  </si>
  <si>
    <t xml:space="preserve">PO-25443</t>
  </si>
  <si>
    <t xml:space="preserve">PO-25444</t>
  </si>
  <si>
    <t xml:space="preserve">PO-25445</t>
  </si>
  <si>
    <t xml:space="preserve">PO-25446</t>
  </si>
  <si>
    <t xml:space="preserve">PO-25447</t>
  </si>
  <si>
    <t xml:space="preserve">PO-25448</t>
  </si>
  <si>
    <t xml:space="preserve">PO-25449</t>
  </si>
  <si>
    <t xml:space="preserve">PO-25450</t>
  </si>
  <si>
    <t xml:space="preserve">PO-25451</t>
  </si>
  <si>
    <t xml:space="preserve">PO-25452</t>
  </si>
  <si>
    <t xml:space="preserve">PO-25453</t>
  </si>
  <si>
    <t xml:space="preserve">PO-25454</t>
  </si>
  <si>
    <t xml:space="preserve">PO-25455</t>
  </si>
  <si>
    <t xml:space="preserve">PO-25456</t>
  </si>
  <si>
    <t xml:space="preserve">PO-25457</t>
  </si>
  <si>
    <t xml:space="preserve">PO-25458</t>
  </si>
  <si>
    <t xml:space="preserve">PO-25459</t>
  </si>
  <si>
    <t xml:space="preserve">PO-25460</t>
  </si>
  <si>
    <t xml:space="preserve">PO-25461</t>
  </si>
  <si>
    <t xml:space="preserve">PO-25462</t>
  </si>
  <si>
    <t xml:space="preserve">PO-25463</t>
  </si>
  <si>
    <t xml:space="preserve">PO-25464</t>
  </si>
  <si>
    <t xml:space="preserve">PO-25465</t>
  </si>
  <si>
    <t xml:space="preserve">PO-25466</t>
  </si>
  <si>
    <t xml:space="preserve">PO-25467</t>
  </si>
  <si>
    <t xml:space="preserve">PO-25468</t>
  </si>
  <si>
    <t xml:space="preserve">PO-25469</t>
  </si>
  <si>
    <t xml:space="preserve">PO-25470</t>
  </si>
  <si>
    <t xml:space="preserve">PO-25471</t>
  </si>
  <si>
    <t xml:space="preserve">PO-25472</t>
  </si>
  <si>
    <t xml:space="preserve">PO-25473</t>
  </si>
  <si>
    <t xml:space="preserve">PO-25474</t>
  </si>
  <si>
    <t xml:space="preserve">PO-25475</t>
  </si>
  <si>
    <t xml:space="preserve">PO-25476</t>
  </si>
  <si>
    <t xml:space="preserve">PO-25477</t>
  </si>
  <si>
    <t xml:space="preserve">PO-25478</t>
  </si>
  <si>
    <t xml:space="preserve">PO-25479</t>
  </si>
  <si>
    <t xml:space="preserve">PO-25480</t>
  </si>
  <si>
    <t xml:space="preserve">PO-25481</t>
  </si>
  <si>
    <t xml:space="preserve">PO-25482</t>
  </si>
  <si>
    <t xml:space="preserve">PO-25483</t>
  </si>
  <si>
    <t xml:space="preserve">PO-25484</t>
  </si>
  <si>
    <t xml:space="preserve">PO-25485</t>
  </si>
  <si>
    <t xml:space="preserve">PO-25486</t>
  </si>
  <si>
    <t xml:space="preserve">PO-25487</t>
  </si>
  <si>
    <t xml:space="preserve">PO-25488</t>
  </si>
  <si>
    <t xml:space="preserve">PO-25489</t>
  </si>
  <si>
    <t xml:space="preserve">PO-25490</t>
  </si>
  <si>
    <t xml:space="preserve">PO-25491</t>
  </si>
  <si>
    <t xml:space="preserve">PO-25492</t>
  </si>
  <si>
    <t xml:space="preserve">PO-25493</t>
  </si>
  <si>
    <t xml:space="preserve">PO-25494</t>
  </si>
  <si>
    <t xml:space="preserve">PO-25495</t>
  </si>
  <si>
    <t xml:space="preserve">PO-25496</t>
  </si>
  <si>
    <t xml:space="preserve">PO-25497</t>
  </si>
  <si>
    <t xml:space="preserve">PO-25498</t>
  </si>
  <si>
    <t xml:space="preserve">PO-25499</t>
  </si>
  <si>
    <t xml:space="preserve">PO-25500</t>
  </si>
  <si>
    <t xml:space="preserve">PO-25501</t>
  </si>
  <si>
    <t xml:space="preserve">PO-25502</t>
  </si>
  <si>
    <t xml:space="preserve">PO-25503</t>
  </si>
  <si>
    <t xml:space="preserve">PO-25504</t>
  </si>
  <si>
    <t xml:space="preserve">PO-25505</t>
  </si>
  <si>
    <t xml:space="preserve">PO-25506</t>
  </si>
  <si>
    <t xml:space="preserve">PO-25507</t>
  </si>
  <si>
    <t xml:space="preserve">PO-25508</t>
  </si>
  <si>
    <t xml:space="preserve">PO-25509</t>
  </si>
  <si>
    <t xml:space="preserve">PO-25510</t>
  </si>
  <si>
    <t xml:space="preserve">PO-25511</t>
  </si>
  <si>
    <t xml:space="preserve">PO-25512</t>
  </si>
  <si>
    <t xml:space="preserve">PO-25513</t>
  </si>
  <si>
    <t xml:space="preserve">PO-25514</t>
  </si>
  <si>
    <t xml:space="preserve">PO-25515</t>
  </si>
  <si>
    <t xml:space="preserve">PO-25516</t>
  </si>
  <si>
    <t xml:space="preserve">PO-25517</t>
  </si>
  <si>
    <t xml:space="preserve">PO-25518</t>
  </si>
  <si>
    <t xml:space="preserve">PO-25519</t>
  </si>
  <si>
    <t xml:space="preserve">PO-25520</t>
  </si>
  <si>
    <t xml:space="preserve">PO-25521</t>
  </si>
  <si>
    <t xml:space="preserve">PO-25522</t>
  </si>
  <si>
    <t xml:space="preserve">PO-25523</t>
  </si>
  <si>
    <t xml:space="preserve">PO-25524</t>
  </si>
  <si>
    <t xml:space="preserve">PO-25525</t>
  </si>
  <si>
    <t xml:space="preserve">PO-25526</t>
  </si>
  <si>
    <t xml:space="preserve">PO-25527</t>
  </si>
  <si>
    <t xml:space="preserve">PO-25528</t>
  </si>
  <si>
    <t xml:space="preserve">PO-25529</t>
  </si>
  <si>
    <t xml:space="preserve">PO-25530</t>
  </si>
  <si>
    <t xml:space="preserve">PO-25531</t>
  </si>
  <si>
    <t xml:space="preserve">PO-25532</t>
  </si>
  <si>
    <t xml:space="preserve">PO-25533</t>
  </si>
  <si>
    <t xml:space="preserve">PO-25534</t>
  </si>
  <si>
    <t xml:space="preserve">PO-25535</t>
  </si>
  <si>
    <t xml:space="preserve">PO-25536</t>
  </si>
  <si>
    <t xml:space="preserve">PO-25537</t>
  </si>
  <si>
    <t xml:space="preserve">PO-25538</t>
  </si>
  <si>
    <t xml:space="preserve">PO-25539</t>
  </si>
  <si>
    <t xml:space="preserve">PO-25540</t>
  </si>
  <si>
    <t xml:space="preserve">PO-25541</t>
  </si>
  <si>
    <t xml:space="preserve">PO-25542</t>
  </si>
  <si>
    <t xml:space="preserve">PO-25543</t>
  </si>
  <si>
    <t xml:space="preserve">PO-25544</t>
  </si>
  <si>
    <t xml:space="preserve">PO-25545</t>
  </si>
  <si>
    <t xml:space="preserve">PO-25546</t>
  </si>
  <si>
    <t xml:space="preserve">PO-25547</t>
  </si>
  <si>
    <t xml:space="preserve">PO-25548</t>
  </si>
  <si>
    <t xml:space="preserve">PO-25549</t>
  </si>
  <si>
    <t xml:space="preserve">PO-25550</t>
  </si>
  <si>
    <t xml:space="preserve">PO-25551</t>
  </si>
  <si>
    <t xml:space="preserve">PO-25552</t>
  </si>
  <si>
    <t xml:space="preserve">PO-25553</t>
  </si>
  <si>
    <t xml:space="preserve">PO-25554</t>
  </si>
  <si>
    <t xml:space="preserve">PO-25555</t>
  </si>
  <si>
    <t xml:space="preserve">PO-25556</t>
  </si>
  <si>
    <t xml:space="preserve">PO-25557</t>
  </si>
  <si>
    <t xml:space="preserve">PO-25558</t>
  </si>
  <si>
    <t xml:space="preserve">PO-25559</t>
  </si>
  <si>
    <t xml:space="preserve">PO-25560</t>
  </si>
  <si>
    <t xml:space="preserve">PO-25561</t>
  </si>
  <si>
    <t xml:space="preserve">PO-25562</t>
  </si>
  <si>
    <t xml:space="preserve">PO-25563</t>
  </si>
  <si>
    <t xml:space="preserve">PO-25564</t>
  </si>
  <si>
    <t xml:space="preserve">PO-25565</t>
  </si>
  <si>
    <t xml:space="preserve">PO-25566</t>
  </si>
  <si>
    <t xml:space="preserve">PO-25567</t>
  </si>
  <si>
    <t xml:space="preserve">PO-25568</t>
  </si>
  <si>
    <t xml:space="preserve">PO-25569</t>
  </si>
  <si>
    <t xml:space="preserve">PO-25570</t>
  </si>
  <si>
    <t xml:space="preserve">PO-25571</t>
  </si>
  <si>
    <t xml:space="preserve">PO-25572</t>
  </si>
  <si>
    <t xml:space="preserve">PO-25573</t>
  </si>
  <si>
    <t xml:space="preserve">PO-25574</t>
  </si>
  <si>
    <t xml:space="preserve">PO-25575</t>
  </si>
  <si>
    <t xml:space="preserve">PO-25576</t>
  </si>
  <si>
    <t xml:space="preserve">PO-25577</t>
  </si>
  <si>
    <t xml:space="preserve">PO-25578</t>
  </si>
  <si>
    <t xml:space="preserve">PO-25579</t>
  </si>
  <si>
    <t xml:space="preserve">PO-25580</t>
  </si>
  <si>
    <t xml:space="preserve">PO-25581</t>
  </si>
  <si>
    <t xml:space="preserve">PO-25582</t>
  </si>
  <si>
    <t xml:space="preserve">PO-25583</t>
  </si>
  <si>
    <t xml:space="preserve">PO-25584</t>
  </si>
  <si>
    <t xml:space="preserve">PO-25585</t>
  </si>
  <si>
    <t xml:space="preserve">PO-25586</t>
  </si>
  <si>
    <t xml:space="preserve">PO-25587</t>
  </si>
  <si>
    <t xml:space="preserve">PO-25588</t>
  </si>
  <si>
    <t xml:space="preserve">PO-25589</t>
  </si>
  <si>
    <t xml:space="preserve">PO-25590</t>
  </si>
  <si>
    <t xml:space="preserve">PO-25591</t>
  </si>
  <si>
    <t xml:space="preserve">PO-25592</t>
  </si>
  <si>
    <t xml:space="preserve">PO-25593</t>
  </si>
  <si>
    <t xml:space="preserve">PO-25594</t>
  </si>
  <si>
    <t xml:space="preserve">PO-25595</t>
  </si>
  <si>
    <t xml:space="preserve">PO-25596</t>
  </si>
  <si>
    <t xml:space="preserve">PO-25597</t>
  </si>
  <si>
    <t xml:space="preserve">PO-25598</t>
  </si>
  <si>
    <t xml:space="preserve">PO-25599</t>
  </si>
  <si>
    <t xml:space="preserve">PO-25600</t>
  </si>
  <si>
    <t xml:space="preserve">PO-25601</t>
  </si>
  <si>
    <t xml:space="preserve">PO-25602</t>
  </si>
  <si>
    <t xml:space="preserve">PO-25603</t>
  </si>
  <si>
    <t xml:space="preserve">PO-25604</t>
  </si>
  <si>
    <t xml:space="preserve">PO-25605</t>
  </si>
  <si>
    <t xml:space="preserve">PO-25606</t>
  </si>
  <si>
    <t xml:space="preserve">PO-25607</t>
  </si>
  <si>
    <t xml:space="preserve">PO-25608</t>
  </si>
  <si>
    <t xml:space="preserve">PO-25609</t>
  </si>
  <si>
    <t xml:space="preserve">PO-25610</t>
  </si>
  <si>
    <t xml:space="preserve">PO-25611</t>
  </si>
  <si>
    <t xml:space="preserve">PO-25612</t>
  </si>
  <si>
    <t xml:space="preserve">PO-25613</t>
  </si>
  <si>
    <t xml:space="preserve">PO-25614</t>
  </si>
  <si>
    <t xml:space="preserve">PO-25615</t>
  </si>
  <si>
    <t xml:space="preserve">PO-25616</t>
  </si>
  <si>
    <t xml:space="preserve">PO-25617</t>
  </si>
  <si>
    <t xml:space="preserve">PO-25618</t>
  </si>
  <si>
    <t xml:space="preserve">PO-25619</t>
  </si>
  <si>
    <t xml:space="preserve">PO-25620</t>
  </si>
  <si>
    <t xml:space="preserve">PO-25621</t>
  </si>
  <si>
    <t xml:space="preserve">PO-25622</t>
  </si>
  <si>
    <t xml:space="preserve">PO-25623</t>
  </si>
  <si>
    <t xml:space="preserve">PO-25624</t>
  </si>
  <si>
    <t xml:space="preserve">PO-25625</t>
  </si>
  <si>
    <t xml:space="preserve">PO-25626</t>
  </si>
  <si>
    <t xml:space="preserve">PO-25627</t>
  </si>
  <si>
    <t xml:space="preserve">PO-25628</t>
  </si>
  <si>
    <t xml:space="preserve">PO-25629</t>
  </si>
  <si>
    <t xml:space="preserve">PO-25630</t>
  </si>
  <si>
    <t xml:space="preserve">PO-25631</t>
  </si>
  <si>
    <t xml:space="preserve">PO-25632</t>
  </si>
  <si>
    <t xml:space="preserve">PO-25633</t>
  </si>
  <si>
    <t xml:space="preserve">PO-25634</t>
  </si>
  <si>
    <t xml:space="preserve">PO-25635</t>
  </si>
  <si>
    <t xml:space="preserve">PO-25636</t>
  </si>
  <si>
    <t xml:space="preserve">PO-25637</t>
  </si>
  <si>
    <t xml:space="preserve">PO-25638</t>
  </si>
  <si>
    <t xml:space="preserve">PO-25639</t>
  </si>
  <si>
    <t xml:space="preserve">PO-25640</t>
  </si>
  <si>
    <t xml:space="preserve">PO-25641</t>
  </si>
  <si>
    <t xml:space="preserve">PO-25642</t>
  </si>
  <si>
    <t xml:space="preserve">PO-25643</t>
  </si>
  <si>
    <t xml:space="preserve">PO-25644</t>
  </si>
  <si>
    <t xml:space="preserve">PO-25645</t>
  </si>
  <si>
    <t xml:space="preserve">PO-25646</t>
  </si>
  <si>
    <t xml:space="preserve">PO-25647</t>
  </si>
  <si>
    <t xml:space="preserve">PO-25648</t>
  </si>
  <si>
    <t xml:space="preserve">PO-25649</t>
  </si>
  <si>
    <t xml:space="preserve">PO-25650</t>
  </si>
  <si>
    <t xml:space="preserve">PO-25651</t>
  </si>
  <si>
    <t xml:space="preserve">PO-25652</t>
  </si>
  <si>
    <t xml:space="preserve">PO-25653</t>
  </si>
  <si>
    <t xml:space="preserve">PO-25654</t>
  </si>
  <si>
    <t xml:space="preserve">PO-25655</t>
  </si>
  <si>
    <t xml:space="preserve">PO-25656</t>
  </si>
  <si>
    <t xml:space="preserve">PO-25657</t>
  </si>
  <si>
    <t xml:space="preserve">PO-25658</t>
  </si>
  <si>
    <t xml:space="preserve">PO-25659</t>
  </si>
  <si>
    <t xml:space="preserve">PO-25660</t>
  </si>
  <si>
    <t xml:space="preserve">PO-25661</t>
  </si>
  <si>
    <t xml:space="preserve">PO-25662</t>
  </si>
  <si>
    <t xml:space="preserve">PO-25663</t>
  </si>
  <si>
    <t xml:space="preserve">PO-25664</t>
  </si>
  <si>
    <t xml:space="preserve">PO-25665</t>
  </si>
  <si>
    <t xml:space="preserve">PO-25666</t>
  </si>
  <si>
    <t xml:space="preserve">PO-25667</t>
  </si>
  <si>
    <t xml:space="preserve">PO-25668</t>
  </si>
  <si>
    <t xml:space="preserve">PO-25669</t>
  </si>
  <si>
    <t xml:space="preserve">PO-25670</t>
  </si>
  <si>
    <t xml:space="preserve">PO-25671</t>
  </si>
  <si>
    <t xml:space="preserve">PO-25672</t>
  </si>
  <si>
    <t xml:space="preserve">PO-25673</t>
  </si>
  <si>
    <t xml:space="preserve">PO-25674</t>
  </si>
  <si>
    <t xml:space="preserve">PO-25675</t>
  </si>
  <si>
    <t xml:space="preserve">PO-25676</t>
  </si>
  <si>
    <t xml:space="preserve">PO-25677</t>
  </si>
  <si>
    <t xml:space="preserve">PO-25678</t>
  </si>
  <si>
    <t xml:space="preserve">PO-25679</t>
  </si>
  <si>
    <t xml:space="preserve">PO-25680</t>
  </si>
  <si>
    <t xml:space="preserve">PO-25681</t>
  </si>
  <si>
    <t xml:space="preserve">PO-25682</t>
  </si>
  <si>
    <t xml:space="preserve">PO-25683</t>
  </si>
  <si>
    <t xml:space="preserve">PO-25684</t>
  </si>
  <si>
    <t xml:space="preserve">PO-25685</t>
  </si>
  <si>
    <t xml:space="preserve">PO-25686</t>
  </si>
  <si>
    <t xml:space="preserve">PO-25687</t>
  </si>
  <si>
    <t xml:space="preserve">PO-25688</t>
  </si>
  <si>
    <t xml:space="preserve">PO-25689</t>
  </si>
  <si>
    <t xml:space="preserve">PO-25690</t>
  </si>
  <si>
    <t xml:space="preserve">PO-25691</t>
  </si>
  <si>
    <t xml:space="preserve">PO-25692</t>
  </si>
  <si>
    <t xml:space="preserve">PO-25693</t>
  </si>
  <si>
    <t xml:space="preserve">PO-25694</t>
  </si>
  <si>
    <t xml:space="preserve">PO-25695</t>
  </si>
  <si>
    <t xml:space="preserve">PO-25696</t>
  </si>
  <si>
    <t xml:space="preserve">PO-25697</t>
  </si>
  <si>
    <t xml:space="preserve">PO-25698</t>
  </si>
  <si>
    <t xml:space="preserve">PO-25699</t>
  </si>
  <si>
    <t xml:space="preserve">PO-25700</t>
  </si>
  <si>
    <t xml:space="preserve">PO-25701</t>
  </si>
  <si>
    <t xml:space="preserve">PO-25702</t>
  </si>
  <si>
    <t xml:space="preserve">PO-25703</t>
  </si>
  <si>
    <t xml:space="preserve">PO-25704</t>
  </si>
  <si>
    <t xml:space="preserve">PO-25705</t>
  </si>
  <si>
    <t xml:space="preserve">PO-25706</t>
  </si>
  <si>
    <t xml:space="preserve">PO-25707</t>
  </si>
  <si>
    <t xml:space="preserve">PO-25708</t>
  </si>
  <si>
    <t xml:space="preserve">PO-25709</t>
  </si>
  <si>
    <t xml:space="preserve">PO-25710</t>
  </si>
  <si>
    <t xml:space="preserve">PO-25711</t>
  </si>
  <si>
    <t xml:space="preserve">PO-25712</t>
  </si>
  <si>
    <t xml:space="preserve">PO-25713</t>
  </si>
  <si>
    <t xml:space="preserve">PO-25714</t>
  </si>
  <si>
    <t xml:space="preserve">PO-25715</t>
  </si>
  <si>
    <t xml:space="preserve">PO-25716</t>
  </si>
  <si>
    <t xml:space="preserve">PO-25717</t>
  </si>
  <si>
    <t xml:space="preserve">PO-25718</t>
  </si>
  <si>
    <t xml:space="preserve">PO-25719</t>
  </si>
  <si>
    <t xml:space="preserve">PO-25720</t>
  </si>
  <si>
    <t xml:space="preserve">PO-25721</t>
  </si>
  <si>
    <t xml:space="preserve">PO-25722</t>
  </si>
  <si>
    <t xml:space="preserve">PO-25723</t>
  </si>
  <si>
    <t xml:space="preserve">PO-25724</t>
  </si>
  <si>
    <t xml:space="preserve">PO-25725</t>
  </si>
  <si>
    <t xml:space="preserve">PO-25726</t>
  </si>
  <si>
    <t xml:space="preserve">PO-25727</t>
  </si>
  <si>
    <t xml:space="preserve">PO-25728</t>
  </si>
  <si>
    <t xml:space="preserve">PO-25729</t>
  </si>
  <si>
    <t xml:space="preserve">PO-25730</t>
  </si>
  <si>
    <t xml:space="preserve">PO-25731</t>
  </si>
  <si>
    <t xml:space="preserve">PO-25732</t>
  </si>
  <si>
    <t xml:space="preserve">PO-25733</t>
  </si>
  <si>
    <t xml:space="preserve">PO-25734</t>
  </si>
  <si>
    <t xml:space="preserve">PO-25735</t>
  </si>
  <si>
    <t xml:space="preserve">PO-25736</t>
  </si>
  <si>
    <t xml:space="preserve">PO-25737</t>
  </si>
  <si>
    <t xml:space="preserve">PO-25738</t>
  </si>
  <si>
    <t xml:space="preserve">PO-25739</t>
  </si>
  <si>
    <t xml:space="preserve">PO-25740</t>
  </si>
  <si>
    <t xml:space="preserve">PO-25741</t>
  </si>
  <si>
    <t xml:space="preserve">PO-25742</t>
  </si>
  <si>
    <t xml:space="preserve">PO-25743</t>
  </si>
  <si>
    <t xml:space="preserve">PO-25744</t>
  </si>
  <si>
    <t xml:space="preserve">PO-25745</t>
  </si>
  <si>
    <t xml:space="preserve">PO-25746</t>
  </si>
  <si>
    <t xml:space="preserve">PO-25747</t>
  </si>
  <si>
    <t xml:space="preserve">PO-25748</t>
  </si>
  <si>
    <t xml:space="preserve">PO-25749</t>
  </si>
  <si>
    <t xml:space="preserve">PO-25750</t>
  </si>
  <si>
    <t xml:space="preserve">PO-25751</t>
  </si>
  <si>
    <t xml:space="preserve">PO-25752</t>
  </si>
  <si>
    <t xml:space="preserve">PO-25753</t>
  </si>
  <si>
    <t xml:space="preserve">PO-25754</t>
  </si>
  <si>
    <t xml:space="preserve">PO-25755</t>
  </si>
  <si>
    <t xml:space="preserve">PO-25756</t>
  </si>
  <si>
    <t xml:space="preserve">PO-25757</t>
  </si>
  <si>
    <t xml:space="preserve">PO-25758</t>
  </si>
  <si>
    <t xml:space="preserve">PO-25759</t>
  </si>
  <si>
    <t xml:space="preserve">PO-25760</t>
  </si>
  <si>
    <t xml:space="preserve">PO-25761</t>
  </si>
  <si>
    <t xml:space="preserve">PO-25762</t>
  </si>
  <si>
    <t xml:space="preserve">PO-25763</t>
  </si>
  <si>
    <t xml:space="preserve">PO-25764</t>
  </si>
  <si>
    <t xml:space="preserve">PO-25765</t>
  </si>
  <si>
    <t xml:space="preserve">PO-25766</t>
  </si>
  <si>
    <t xml:space="preserve">PO-25767</t>
  </si>
  <si>
    <t xml:space="preserve">PO-25768</t>
  </si>
  <si>
    <t xml:space="preserve">PO-25769</t>
  </si>
  <si>
    <t xml:space="preserve">PO-25770</t>
  </si>
  <si>
    <t xml:space="preserve">PO-25771</t>
  </si>
  <si>
    <t xml:space="preserve">PO-25772</t>
  </si>
  <si>
    <t xml:space="preserve">PO-25773</t>
  </si>
  <si>
    <t xml:space="preserve">PO-25774</t>
  </si>
  <si>
    <t xml:space="preserve">PO-25775</t>
  </si>
  <si>
    <t xml:space="preserve">PO-25776</t>
  </si>
  <si>
    <t xml:space="preserve">PO-25777</t>
  </si>
  <si>
    <t xml:space="preserve">PO-25778</t>
  </si>
  <si>
    <t xml:space="preserve">PO-25779</t>
  </si>
  <si>
    <t xml:space="preserve">PO-25780</t>
  </si>
  <si>
    <t xml:space="preserve">PO-25781</t>
  </si>
  <si>
    <t xml:space="preserve">PO-25782</t>
  </si>
  <si>
    <t xml:space="preserve">PO-25783</t>
  </si>
  <si>
    <t xml:space="preserve">PO-25784</t>
  </si>
  <si>
    <t xml:space="preserve">PO-25785</t>
  </si>
  <si>
    <t xml:space="preserve">PO-25786</t>
  </si>
  <si>
    <t xml:space="preserve">PO-25787</t>
  </si>
  <si>
    <t xml:space="preserve">PO-25788</t>
  </si>
  <si>
    <t xml:space="preserve">PO-25789</t>
  </si>
  <si>
    <t xml:space="preserve">PO-25790</t>
  </si>
  <si>
    <t xml:space="preserve">PO-25791</t>
  </si>
  <si>
    <t xml:space="preserve">PO-25792</t>
  </si>
  <si>
    <t xml:space="preserve">PO-25793</t>
  </si>
  <si>
    <t xml:space="preserve">PO-25794</t>
  </si>
  <si>
    <t xml:space="preserve">PO-25795</t>
  </si>
  <si>
    <t xml:space="preserve">PO-25796</t>
  </si>
  <si>
    <t xml:space="preserve">PO-25797</t>
  </si>
  <si>
    <t xml:space="preserve">PO-25798</t>
  </si>
  <si>
    <t xml:space="preserve">PO-25799</t>
  </si>
  <si>
    <t xml:space="preserve">PO-25800</t>
  </si>
  <si>
    <t xml:space="preserve">PO-25801</t>
  </si>
  <si>
    <t xml:space="preserve">PO-25802</t>
  </si>
  <si>
    <t xml:space="preserve">PO-25803</t>
  </si>
  <si>
    <t xml:space="preserve">PO-25804</t>
  </si>
  <si>
    <t xml:space="preserve">PO-25805</t>
  </si>
  <si>
    <t xml:space="preserve">PO-25806</t>
  </si>
  <si>
    <t xml:space="preserve">PO-25807</t>
  </si>
  <si>
    <t xml:space="preserve">PO-25808</t>
  </si>
  <si>
    <t xml:space="preserve">PO-25809</t>
  </si>
  <si>
    <t xml:space="preserve">PO-25810</t>
  </si>
  <si>
    <t xml:space="preserve">PO-25811</t>
  </si>
  <si>
    <t xml:space="preserve">PO-25812</t>
  </si>
  <si>
    <t xml:space="preserve">PO-25813</t>
  </si>
  <si>
    <t xml:space="preserve">PO-25814</t>
  </si>
  <si>
    <t xml:space="preserve">PO-25815</t>
  </si>
  <si>
    <t xml:space="preserve">PO-25816</t>
  </si>
  <si>
    <t xml:space="preserve">PO-25817</t>
  </si>
  <si>
    <t xml:space="preserve">PO-25818</t>
  </si>
  <si>
    <t xml:space="preserve">PO-25819</t>
  </si>
  <si>
    <t xml:space="preserve">PO-25820</t>
  </si>
  <si>
    <t xml:space="preserve">PO-25821</t>
  </si>
  <si>
    <t xml:space="preserve">PO-25822</t>
  </si>
  <si>
    <t xml:space="preserve">PO-25823</t>
  </si>
  <si>
    <t xml:space="preserve">PO-25824</t>
  </si>
  <si>
    <t xml:space="preserve">PO-25825</t>
  </si>
  <si>
    <t xml:space="preserve">PO-25826</t>
  </si>
  <si>
    <t xml:space="preserve">PO-25827</t>
  </si>
  <si>
    <t xml:space="preserve">PO-25828</t>
  </si>
  <si>
    <t xml:space="preserve">PO-25829</t>
  </si>
  <si>
    <t xml:space="preserve">PO-25830</t>
  </si>
  <si>
    <t xml:space="preserve">PO-25831</t>
  </si>
  <si>
    <t xml:space="preserve">PO-25832</t>
  </si>
  <si>
    <t xml:space="preserve">PO-25833</t>
  </si>
  <si>
    <t xml:space="preserve">PO-25834</t>
  </si>
  <si>
    <t xml:space="preserve">PO-25835</t>
  </si>
  <si>
    <t xml:space="preserve">PO-25836</t>
  </si>
  <si>
    <t xml:space="preserve">PO-25837</t>
  </si>
  <si>
    <t xml:space="preserve">PO-25838</t>
  </si>
  <si>
    <t xml:space="preserve">PO-25839</t>
  </si>
  <si>
    <t xml:space="preserve">PO-25840</t>
  </si>
  <si>
    <t xml:space="preserve">PO-25841</t>
  </si>
  <si>
    <t xml:space="preserve">PO-25842</t>
  </si>
  <si>
    <t xml:space="preserve">PO-25843</t>
  </si>
  <si>
    <t xml:space="preserve">PO-25844</t>
  </si>
  <si>
    <t xml:space="preserve">PO-25845</t>
  </si>
  <si>
    <t xml:space="preserve">PO-25846</t>
  </si>
  <si>
    <t xml:space="preserve">PO-25847</t>
  </si>
  <si>
    <t xml:space="preserve">PO-25848</t>
  </si>
  <si>
    <t xml:space="preserve">PO-25849</t>
  </si>
  <si>
    <t xml:space="preserve">PO-25850</t>
  </si>
  <si>
    <t xml:space="preserve">PO-25851</t>
  </si>
  <si>
    <t xml:space="preserve">PO-25852</t>
  </si>
  <si>
    <t xml:space="preserve">PO-25853</t>
  </si>
  <si>
    <t xml:space="preserve">PO-25854</t>
  </si>
  <si>
    <t xml:space="preserve">PO-25855</t>
  </si>
  <si>
    <t xml:space="preserve">PO-25856</t>
  </si>
  <si>
    <t xml:space="preserve">PO-25857</t>
  </si>
  <si>
    <t xml:space="preserve">PO-25858</t>
  </si>
  <si>
    <t xml:space="preserve">PO-25859</t>
  </si>
  <si>
    <t xml:space="preserve">PO-25860</t>
  </si>
  <si>
    <t xml:space="preserve">PO-25861</t>
  </si>
  <si>
    <t xml:space="preserve">PO-25862</t>
  </si>
  <si>
    <t xml:space="preserve">PO-25863</t>
  </si>
  <si>
    <t xml:space="preserve">PO-25864</t>
  </si>
  <si>
    <t xml:space="preserve">PO-25865</t>
  </si>
  <si>
    <t xml:space="preserve">PO-25866</t>
  </si>
  <si>
    <t xml:space="preserve">PO-25867</t>
  </si>
  <si>
    <t xml:space="preserve">PO-25868</t>
  </si>
  <si>
    <t xml:space="preserve">PO-25869</t>
  </si>
  <si>
    <t xml:space="preserve">PO-25870</t>
  </si>
  <si>
    <t xml:space="preserve">PO-25871</t>
  </si>
  <si>
    <t xml:space="preserve">PO-25872</t>
  </si>
  <si>
    <t xml:space="preserve">PO-25873</t>
  </si>
  <si>
    <t xml:space="preserve">PO-25874</t>
  </si>
  <si>
    <t xml:space="preserve">PO-25875</t>
  </si>
  <si>
    <t xml:space="preserve">PO-25876</t>
  </si>
  <si>
    <t xml:space="preserve">PO-25877</t>
  </si>
  <si>
    <t xml:space="preserve">PO-25878</t>
  </si>
  <si>
    <t xml:space="preserve">PO-25879</t>
  </si>
  <si>
    <t xml:space="preserve">PO-25880</t>
  </si>
  <si>
    <t xml:space="preserve">PO-25881</t>
  </si>
  <si>
    <t xml:space="preserve">PO-25882</t>
  </si>
  <si>
    <t xml:space="preserve">PO-25883</t>
  </si>
  <si>
    <t xml:space="preserve">PO-25884</t>
  </si>
  <si>
    <t xml:space="preserve">PO-25885</t>
  </si>
  <si>
    <t xml:space="preserve">PO-25886</t>
  </si>
  <si>
    <t xml:space="preserve">PO-25887</t>
  </si>
  <si>
    <t xml:space="preserve">PO-25888</t>
  </si>
  <si>
    <t xml:space="preserve">PO-25889</t>
  </si>
  <si>
    <t xml:space="preserve">PO-25890</t>
  </si>
  <si>
    <t xml:space="preserve">PO-25891</t>
  </si>
  <si>
    <t xml:space="preserve">PO-25892</t>
  </si>
  <si>
    <t xml:space="preserve">PO-25893</t>
  </si>
  <si>
    <t xml:space="preserve">PO-25894</t>
  </si>
  <si>
    <t xml:space="preserve">PO-25895</t>
  </si>
  <si>
    <t xml:space="preserve">PO-25896</t>
  </si>
  <si>
    <t xml:space="preserve">PO-25897</t>
  </si>
  <si>
    <t xml:space="preserve">PO-25898</t>
  </si>
  <si>
    <t xml:space="preserve">PO-25899</t>
  </si>
  <si>
    <t xml:space="preserve">PO-25900</t>
  </si>
  <si>
    <t xml:space="preserve">PO-25901</t>
  </si>
  <si>
    <t xml:space="preserve">PO-25902</t>
  </si>
  <si>
    <t xml:space="preserve">PO-25903</t>
  </si>
  <si>
    <t xml:space="preserve">PO-25904</t>
  </si>
  <si>
    <t xml:space="preserve">PO-25905</t>
  </si>
  <si>
    <t xml:space="preserve">PO-25906</t>
  </si>
  <si>
    <t xml:space="preserve">PO-25907</t>
  </si>
  <si>
    <t xml:space="preserve">PO-25908</t>
  </si>
  <si>
    <t xml:space="preserve">PO-25909</t>
  </si>
  <si>
    <t xml:space="preserve">PO-25910</t>
  </si>
  <si>
    <t xml:space="preserve">PO-25911</t>
  </si>
  <si>
    <t xml:space="preserve">PO-25912</t>
  </si>
  <si>
    <t xml:space="preserve">PO-25913</t>
  </si>
  <si>
    <t xml:space="preserve">PO-25914</t>
  </si>
  <si>
    <t xml:space="preserve">PO-25915</t>
  </si>
  <si>
    <t xml:space="preserve">PO-25916</t>
  </si>
  <si>
    <t xml:space="preserve">PO-25917</t>
  </si>
  <si>
    <t xml:space="preserve">PO-25918</t>
  </si>
  <si>
    <t xml:space="preserve">PO-25919</t>
  </si>
  <si>
    <t xml:space="preserve">PO-25920</t>
  </si>
  <si>
    <t xml:space="preserve">PO-25921</t>
  </si>
  <si>
    <t xml:space="preserve">PO-25922</t>
  </si>
  <si>
    <t xml:space="preserve">PO-25923</t>
  </si>
  <si>
    <t xml:space="preserve">PO-25924</t>
  </si>
  <si>
    <t xml:space="preserve">PO-25925</t>
  </si>
  <si>
    <t xml:space="preserve">PO-25926</t>
  </si>
  <si>
    <t xml:space="preserve">PO-25927</t>
  </si>
  <si>
    <t xml:space="preserve">PO-25928</t>
  </si>
  <si>
    <t xml:space="preserve">PO-25929</t>
  </si>
  <si>
    <t xml:space="preserve">PO-25930</t>
  </si>
  <si>
    <t xml:space="preserve">PO-25931</t>
  </si>
  <si>
    <t xml:space="preserve">PO-25932</t>
  </si>
  <si>
    <t xml:space="preserve">PO-25933</t>
  </si>
  <si>
    <t xml:space="preserve">PO-25934</t>
  </si>
  <si>
    <t xml:space="preserve">PO-25935</t>
  </si>
  <si>
    <t xml:space="preserve">PO-25936</t>
  </si>
  <si>
    <t xml:space="preserve">PO-25937</t>
  </si>
  <si>
    <t xml:space="preserve">PO-25938</t>
  </si>
  <si>
    <t xml:space="preserve">PO-25939</t>
  </si>
  <si>
    <t xml:space="preserve">PO-25940</t>
  </si>
  <si>
    <t xml:space="preserve">PO-25941</t>
  </si>
  <si>
    <t xml:space="preserve">PO-25942</t>
  </si>
  <si>
    <t xml:space="preserve">PO-25943</t>
  </si>
  <si>
    <t xml:space="preserve">PO-25944</t>
  </si>
  <si>
    <t xml:space="preserve">PO-25945</t>
  </si>
  <si>
    <t xml:space="preserve">PO-25946</t>
  </si>
  <si>
    <t xml:space="preserve">PO-25947</t>
  </si>
  <si>
    <t xml:space="preserve">PO-25948</t>
  </si>
  <si>
    <t xml:space="preserve">PO-25949</t>
  </si>
  <si>
    <t xml:space="preserve">PO-25950</t>
  </si>
  <si>
    <t xml:space="preserve">PO-25951</t>
  </si>
  <si>
    <t xml:space="preserve">PO-25952</t>
  </si>
  <si>
    <t xml:space="preserve">PO-25953</t>
  </si>
  <si>
    <t xml:space="preserve">PO-25954</t>
  </si>
  <si>
    <t xml:space="preserve">PO-25955</t>
  </si>
  <si>
    <t xml:space="preserve">PO-25956</t>
  </si>
  <si>
    <t xml:space="preserve">PO-25957</t>
  </si>
  <si>
    <t xml:space="preserve">PO-25958</t>
  </si>
  <si>
    <t xml:space="preserve">PO-25959</t>
  </si>
  <si>
    <t xml:space="preserve">PO-25960</t>
  </si>
  <si>
    <t xml:space="preserve">PO-25961</t>
  </si>
  <si>
    <t xml:space="preserve">PO-25962</t>
  </si>
  <si>
    <t xml:space="preserve">PO-25963</t>
  </si>
  <si>
    <t xml:space="preserve">PO-25964</t>
  </si>
  <si>
    <t xml:space="preserve">PO-25965</t>
  </si>
  <si>
    <t xml:space="preserve">PO-25966</t>
  </si>
  <si>
    <t xml:space="preserve">PO-25967</t>
  </si>
  <si>
    <t xml:space="preserve">PO-25968</t>
  </si>
  <si>
    <t xml:space="preserve">PO-25969</t>
  </si>
  <si>
    <t xml:space="preserve">PO-25970</t>
  </si>
  <si>
    <t xml:space="preserve">PO-25971</t>
  </si>
  <si>
    <t xml:space="preserve">PO-25972</t>
  </si>
  <si>
    <t xml:space="preserve">PO-25973</t>
  </si>
  <si>
    <t xml:space="preserve">PO-25974</t>
  </si>
  <si>
    <t xml:space="preserve">PO-25975</t>
  </si>
  <si>
    <t xml:space="preserve">PO-25976</t>
  </si>
  <si>
    <t xml:space="preserve">PO-25977</t>
  </si>
  <si>
    <t xml:space="preserve">PO-25978</t>
  </si>
  <si>
    <t xml:space="preserve">PO-25979</t>
  </si>
  <si>
    <t xml:space="preserve">PO-25980</t>
  </si>
  <si>
    <t xml:space="preserve">PO-25981</t>
  </si>
  <si>
    <t xml:space="preserve">PO-25982</t>
  </si>
  <si>
    <t xml:space="preserve">PO-25983</t>
  </si>
  <si>
    <t xml:space="preserve">PO-25984</t>
  </si>
  <si>
    <t xml:space="preserve">PO-25985</t>
  </si>
  <si>
    <t xml:space="preserve">PO-25986</t>
  </si>
  <si>
    <t xml:space="preserve">PO-25987</t>
  </si>
  <si>
    <t xml:space="preserve">PO-25988</t>
  </si>
  <si>
    <t xml:space="preserve">PO-25989</t>
  </si>
  <si>
    <t xml:space="preserve">PO-25990</t>
  </si>
  <si>
    <t xml:space="preserve">PO-25991</t>
  </si>
  <si>
    <t xml:space="preserve">PO-25992</t>
  </si>
  <si>
    <t xml:space="preserve">PO-25993</t>
  </si>
  <si>
    <t xml:space="preserve">PO-25994</t>
  </si>
  <si>
    <t xml:space="preserve">PO-25995</t>
  </si>
  <si>
    <t xml:space="preserve">PO-25996</t>
  </si>
  <si>
    <t xml:space="preserve">PO-25997</t>
  </si>
  <si>
    <t xml:space="preserve">PO-25998</t>
  </si>
  <si>
    <t xml:space="preserve">PO-25999</t>
  </si>
  <si>
    <t xml:space="preserve">PO-26000</t>
  </si>
  <si>
    <t xml:space="preserve">PO-26001</t>
  </si>
  <si>
    <t xml:space="preserve">PO-26002</t>
  </si>
  <si>
    <t xml:space="preserve">PO-26003</t>
  </si>
  <si>
    <t xml:space="preserve">PO-26004</t>
  </si>
  <si>
    <t xml:space="preserve">PO-26005</t>
  </si>
  <si>
    <t xml:space="preserve">PO-26006</t>
  </si>
  <si>
    <t xml:space="preserve">PO-26007</t>
  </si>
  <si>
    <t xml:space="preserve">PO-26008</t>
  </si>
  <si>
    <t xml:space="preserve">PO-26009</t>
  </si>
  <si>
    <t xml:space="preserve">PO-26010</t>
  </si>
  <si>
    <t xml:space="preserve">PO-26011</t>
  </si>
  <si>
    <t xml:space="preserve">PO-26012</t>
  </si>
  <si>
    <t xml:space="preserve">PO-26013</t>
  </si>
  <si>
    <t xml:space="preserve">PO-26014</t>
  </si>
  <si>
    <t xml:space="preserve">PO-26015</t>
  </si>
  <si>
    <t xml:space="preserve">PO-26016</t>
  </si>
  <si>
    <t xml:space="preserve">PO-26017</t>
  </si>
  <si>
    <t xml:space="preserve">PO-26018</t>
  </si>
  <si>
    <t xml:space="preserve">PO-26019</t>
  </si>
  <si>
    <t xml:space="preserve">PO-26020</t>
  </si>
  <si>
    <t xml:space="preserve">PO-26021</t>
  </si>
  <si>
    <t xml:space="preserve">PO-26022</t>
  </si>
  <si>
    <t xml:space="preserve">PO-26023</t>
  </si>
  <si>
    <t xml:space="preserve">PO-26024</t>
  </si>
  <si>
    <t xml:space="preserve">PO-26025</t>
  </si>
  <si>
    <t xml:space="preserve">PO-26026</t>
  </si>
  <si>
    <t xml:space="preserve">PO-26027</t>
  </si>
  <si>
    <t xml:space="preserve">PO-26028</t>
  </si>
  <si>
    <t xml:space="preserve">PO-26029</t>
  </si>
  <si>
    <t xml:space="preserve">PO-26030</t>
  </si>
  <si>
    <t xml:space="preserve">PO-26031</t>
  </si>
  <si>
    <t xml:space="preserve">PO-26032</t>
  </si>
  <si>
    <t xml:space="preserve">PO-26033</t>
  </si>
  <si>
    <t xml:space="preserve">PO-26034</t>
  </si>
  <si>
    <t xml:space="preserve">PO-26035</t>
  </si>
  <si>
    <t xml:space="preserve">PO-26036</t>
  </si>
  <si>
    <t xml:space="preserve">PO-26037</t>
  </si>
  <si>
    <t xml:space="preserve">PO-26038</t>
  </si>
  <si>
    <t xml:space="preserve">PO-26039</t>
  </si>
  <si>
    <t xml:space="preserve">PO-26040</t>
  </si>
  <si>
    <t xml:space="preserve">PO-26041</t>
  </si>
  <si>
    <t xml:space="preserve">PO-26042</t>
  </si>
  <si>
    <t xml:space="preserve">PO-26043</t>
  </si>
  <si>
    <t xml:space="preserve">PO-26044</t>
  </si>
  <si>
    <t xml:space="preserve">PO-26045</t>
  </si>
  <si>
    <t xml:space="preserve">PO-26046</t>
  </si>
  <si>
    <t xml:space="preserve">PO-26047</t>
  </si>
  <si>
    <t xml:space="preserve">PO-26048</t>
  </si>
  <si>
    <t xml:space="preserve">PO-26049</t>
  </si>
  <si>
    <t xml:space="preserve">PO-26050</t>
  </si>
  <si>
    <t xml:space="preserve">PO-26051</t>
  </si>
  <si>
    <t xml:space="preserve">PO-26052</t>
  </si>
  <si>
    <t xml:space="preserve">PO-26053</t>
  </si>
  <si>
    <t xml:space="preserve">PO-26054</t>
  </si>
  <si>
    <t xml:space="preserve">PO-26055</t>
  </si>
  <si>
    <t xml:space="preserve">PO-26056</t>
  </si>
  <si>
    <t xml:space="preserve">PO-26057</t>
  </si>
  <si>
    <t xml:space="preserve">PO-26058</t>
  </si>
  <si>
    <t xml:space="preserve">PO-26059</t>
  </si>
  <si>
    <t xml:space="preserve">PO-26060</t>
  </si>
  <si>
    <t xml:space="preserve">PO-26061</t>
  </si>
  <si>
    <t xml:space="preserve">PO-26062</t>
  </si>
  <si>
    <t xml:space="preserve">PO-26063</t>
  </si>
  <si>
    <t xml:space="preserve">PO-26064</t>
  </si>
  <si>
    <t xml:space="preserve">PO-26065</t>
  </si>
  <si>
    <t xml:space="preserve">PO-26066</t>
  </si>
  <si>
    <t xml:space="preserve">PO-26067</t>
  </si>
  <si>
    <t xml:space="preserve">PO-26068</t>
  </si>
  <si>
    <t xml:space="preserve">PO-26069</t>
  </si>
  <si>
    <t xml:space="preserve">PO-26070</t>
  </si>
  <si>
    <t xml:space="preserve">PO-26071</t>
  </si>
  <si>
    <t xml:space="preserve">PO-26072</t>
  </si>
  <si>
    <t xml:space="preserve">PO-26073</t>
  </si>
  <si>
    <t xml:space="preserve">PO-26074</t>
  </si>
  <si>
    <t xml:space="preserve">PO-26075</t>
  </si>
  <si>
    <t xml:space="preserve">PO-26076</t>
  </si>
  <si>
    <t xml:space="preserve">PO-26077</t>
  </si>
  <si>
    <t xml:space="preserve">PO-26078</t>
  </si>
  <si>
    <t xml:space="preserve">PO-26079</t>
  </si>
  <si>
    <t xml:space="preserve">PO-26080</t>
  </si>
  <si>
    <t xml:space="preserve">PO-26081</t>
  </si>
  <si>
    <t xml:space="preserve">PO-26082</t>
  </si>
  <si>
    <t xml:space="preserve">PO-26083</t>
  </si>
  <si>
    <t xml:space="preserve">PO-26084</t>
  </si>
  <si>
    <t xml:space="preserve">PO-26085</t>
  </si>
  <si>
    <t xml:space="preserve">PO-26086</t>
  </si>
  <si>
    <t xml:space="preserve">PO-26087</t>
  </si>
  <si>
    <t xml:space="preserve">PO-26088</t>
  </si>
  <si>
    <t xml:space="preserve">PO-26089</t>
  </si>
  <si>
    <t xml:space="preserve">PO-26090</t>
  </si>
  <si>
    <t xml:space="preserve">PO-26091</t>
  </si>
  <si>
    <t xml:space="preserve">PO-26092</t>
  </si>
  <si>
    <t xml:space="preserve">PO-26093</t>
  </si>
  <si>
    <t xml:space="preserve">PO-26094</t>
  </si>
  <si>
    <t xml:space="preserve">PO-26095</t>
  </si>
  <si>
    <t xml:space="preserve">PO-26096</t>
  </si>
  <si>
    <t xml:space="preserve">PO-26097</t>
  </si>
  <si>
    <t xml:space="preserve">PO-26098</t>
  </si>
  <si>
    <t xml:space="preserve">PO-26099</t>
  </si>
  <si>
    <t xml:space="preserve">PO-26100</t>
  </si>
  <si>
    <t xml:space="preserve">PO-26101</t>
  </si>
  <si>
    <t xml:space="preserve">PO-26102</t>
  </si>
  <si>
    <t xml:space="preserve">PO-26103</t>
  </si>
  <si>
    <t xml:space="preserve">PO-26104</t>
  </si>
  <si>
    <t xml:space="preserve">PO-26105</t>
  </si>
  <si>
    <t xml:space="preserve">PO-26106</t>
  </si>
  <si>
    <t xml:space="preserve">PO-26107</t>
  </si>
  <si>
    <t xml:space="preserve">PO-26108</t>
  </si>
  <si>
    <t xml:space="preserve">PO-26109</t>
  </si>
  <si>
    <t xml:space="preserve">PO-26110</t>
  </si>
  <si>
    <t xml:space="preserve">PO-26111</t>
  </si>
  <si>
    <t xml:space="preserve">PO-26112</t>
  </si>
  <si>
    <t xml:space="preserve">PO-26113</t>
  </si>
  <si>
    <t xml:space="preserve">PO-26114</t>
  </si>
  <si>
    <t xml:space="preserve">PO-26115</t>
  </si>
  <si>
    <t xml:space="preserve">PO-26116</t>
  </si>
  <si>
    <t xml:space="preserve">PO-26117</t>
  </si>
  <si>
    <t xml:space="preserve">PO-26118</t>
  </si>
  <si>
    <t xml:space="preserve">PO-26119</t>
  </si>
  <si>
    <t xml:space="preserve">PO-26120</t>
  </si>
  <si>
    <t xml:space="preserve">PO-26121</t>
  </si>
  <si>
    <t xml:space="preserve">PO-26122</t>
  </si>
  <si>
    <t xml:space="preserve">PO-26123</t>
  </si>
  <si>
    <t xml:space="preserve">PO-26124</t>
  </si>
  <si>
    <t xml:space="preserve">PO-26125</t>
  </si>
  <si>
    <t xml:space="preserve">PO-26126</t>
  </si>
  <si>
    <t xml:space="preserve">PO-26127</t>
  </si>
  <si>
    <t xml:space="preserve">PO-26128</t>
  </si>
  <si>
    <t xml:space="preserve">PO-26129</t>
  </si>
  <si>
    <t xml:space="preserve">PO-26130</t>
  </si>
  <si>
    <t xml:space="preserve">PO-26131</t>
  </si>
  <si>
    <t xml:space="preserve">PO-26132</t>
  </si>
  <si>
    <t xml:space="preserve">PO-26133</t>
  </si>
  <si>
    <t xml:space="preserve">PO-26134</t>
  </si>
  <si>
    <t xml:space="preserve">PO-26135</t>
  </si>
  <si>
    <t xml:space="preserve">PO-26136</t>
  </si>
  <si>
    <t xml:space="preserve">PO-26137</t>
  </si>
  <si>
    <t xml:space="preserve">PO-26138</t>
  </si>
  <si>
    <t xml:space="preserve">PO-26139</t>
  </si>
  <si>
    <t xml:space="preserve">PO-26140</t>
  </si>
  <si>
    <t xml:space="preserve">PO-26141</t>
  </si>
  <si>
    <t xml:space="preserve">PO-26142</t>
  </si>
  <si>
    <t xml:space="preserve">PO-26143</t>
  </si>
  <si>
    <t xml:space="preserve">PO-26144</t>
  </si>
  <si>
    <t xml:space="preserve">PO-26145</t>
  </si>
  <si>
    <t xml:space="preserve">PO-26146</t>
  </si>
  <si>
    <t xml:space="preserve">PO-26147</t>
  </si>
  <si>
    <t xml:space="preserve">PO-26148</t>
  </si>
  <si>
    <t xml:space="preserve">PO-26149</t>
  </si>
  <si>
    <t xml:space="preserve">PO-26150</t>
  </si>
  <si>
    <t xml:space="preserve">PO-26151</t>
  </si>
  <si>
    <t xml:space="preserve">PO-26152</t>
  </si>
  <si>
    <t xml:space="preserve">PO-26153</t>
  </si>
  <si>
    <t xml:space="preserve">PO-26154</t>
  </si>
  <si>
    <t xml:space="preserve">PO-26155</t>
  </si>
  <si>
    <t xml:space="preserve">PO-26156</t>
  </si>
  <si>
    <t xml:space="preserve">PO-26157</t>
  </si>
  <si>
    <t xml:space="preserve">PO-26158</t>
  </si>
  <si>
    <t xml:space="preserve">PO-26159</t>
  </si>
  <si>
    <t xml:space="preserve">PO-26160</t>
  </si>
  <si>
    <t xml:space="preserve">PO-26161</t>
  </si>
  <si>
    <t xml:space="preserve">PO-26162</t>
  </si>
  <si>
    <t xml:space="preserve">PO-26163</t>
  </si>
  <si>
    <t xml:space="preserve">PO-26164</t>
  </si>
  <si>
    <t xml:space="preserve">PO-26165</t>
  </si>
  <si>
    <t xml:space="preserve">PO-26166</t>
  </si>
  <si>
    <t xml:space="preserve">PO-26167</t>
  </si>
  <si>
    <t xml:space="preserve">PO-26168</t>
  </si>
  <si>
    <t xml:space="preserve">PO-26169</t>
  </si>
  <si>
    <t xml:space="preserve">PO-26170</t>
  </si>
  <si>
    <t xml:space="preserve">PO-26171</t>
  </si>
  <si>
    <t xml:space="preserve">PO-26172</t>
  </si>
  <si>
    <t xml:space="preserve">PO-26173</t>
  </si>
  <si>
    <t xml:space="preserve">PO-26174</t>
  </si>
  <si>
    <t xml:space="preserve">PO-26175</t>
  </si>
  <si>
    <t xml:space="preserve">PO-26176</t>
  </si>
  <si>
    <t xml:space="preserve">PO-26177</t>
  </si>
  <si>
    <t xml:space="preserve">PO-26178</t>
  </si>
  <si>
    <t xml:space="preserve">PO-26179</t>
  </si>
  <si>
    <t xml:space="preserve">PO-26180</t>
  </si>
  <si>
    <t xml:space="preserve">PO-26181</t>
  </si>
  <si>
    <t xml:space="preserve">PO-26182</t>
  </si>
  <si>
    <t xml:space="preserve">PO-26183</t>
  </si>
  <si>
    <t xml:space="preserve">PO-26184</t>
  </si>
  <si>
    <t xml:space="preserve">PO-26185</t>
  </si>
  <si>
    <t xml:space="preserve">PO-26186</t>
  </si>
  <si>
    <t xml:space="preserve">PO-26187</t>
  </si>
  <si>
    <t xml:space="preserve">PO-26188</t>
  </si>
  <si>
    <t xml:space="preserve">PO-26189</t>
  </si>
  <si>
    <t xml:space="preserve">PO-26190</t>
  </si>
  <si>
    <t xml:space="preserve">PO-26191</t>
  </si>
  <si>
    <t xml:space="preserve">PO-26192</t>
  </si>
  <si>
    <t xml:space="preserve">PO-26193</t>
  </si>
  <si>
    <t xml:space="preserve">PO-26194</t>
  </si>
  <si>
    <t xml:space="preserve">PO-26195</t>
  </si>
  <si>
    <t xml:space="preserve">PO-26196</t>
  </si>
  <si>
    <t xml:space="preserve">PO-26197</t>
  </si>
  <si>
    <t xml:space="preserve">PO-26198</t>
  </si>
  <si>
    <t xml:space="preserve">PO-26199</t>
  </si>
  <si>
    <t xml:space="preserve">PO-26200</t>
  </si>
  <si>
    <t xml:space="preserve">PO-26201</t>
  </si>
  <si>
    <t xml:space="preserve">Spend cube: fruit × supplier (EUR)</t>
  </si>
  <si>
    <t xml:space="preserve">Supplier \ Fruit</t>
  </si>
  <si>
    <t xml:space="preserve">Total</t>
  </si>
  <si>
    <t xml:space="preserve">Share %</t>
  </si>
  <si>
    <t xml:space="preserve">Avg_Paid_€/box</t>
  </si>
  <si>
    <t xml:space="preserve">Avg_Market_€/box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</si>
  <si>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</si>
  <si>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</si>
  <si>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</si>
  <si>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</si>
  <si>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</si>
  <si>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</si>
  <si>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</si>
  <si>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</si>
  <si>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</si>
  <si>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</si>
  <si>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</si>
  <si>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</si>
  <si>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Cumulative %</t>
  </si>
  <si>
    <t xml:space="preserve">Class</t>
  </si>
  <si>
    <t xml:space="preserve">Kraljic matrix by fruit: edit the blue Supply Risk scores (1–5)</t>
  </si>
  <si>
    <t xml:space="preserve">Spend share %</t>
  </si>
  <si>
    <t xml:space="preserve">Supply Risk (1-5)</t>
  </si>
  <si>
    <t xml:space="preserve">Profit impact</t>
  </si>
  <si>
    <t xml:space="preserve">Quadrant</t>
  </si>
  <si>
    <t xml:space="preserve">Rationale</t>
  </si>
  <si>
    <t xml:space="preserve">Threshold: high spend share ≥</t>
  </si>
  <si>
    <t xml:space="preserve">Many origins, but TR4 disease and Ecuador weather</t>
  </si>
  <si>
    <t xml:space="preserve">Threshold: high risk ≥</t>
  </si>
  <si>
    <t xml:space="preserve">Abundant EU supply, storable</t>
  </si>
  <si>
    <t xml:space="preserve">Spain/S.Africa seasonal swing</t>
  </si>
  <si>
    <t xml:space="preserve">Few origins, volatile prices, Mexico/Peru/Kenya concentration</t>
  </si>
  <si>
    <t xml:space="preserve">Highly perishable, short seasons, weather risk</t>
  </si>
  <si>
    <t xml:space="preserve">Counter-seasonal sourcing needed</t>
  </si>
  <si>
    <t xml:space="preserve">Costa Rica dominant but stable</t>
  </si>
  <si>
    <t xml:space="preserve">Quality variability, limited origins</t>
  </si>
  <si>
    <t xml:space="preserve">OTIF %</t>
  </si>
  <si>
    <t xml:space="preserve">Avg Defect %</t>
  </si>
  <si>
    <t xml:space="preserve">Price vs Market %</t>
  </si>
  <si>
    <t xml:space="preserve">Rating</t>
  </si>
  <si>
    <t xml:space="preserve">Rating rules: Strategic = OTIF ≥95% and defects ≤2%; Review/Exit = OTIF &lt;88% or defects &gt;3.5%; else Develop. Targets are assumptions (blue in your own version).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</si>
</sst>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€#,##0"/>
    <numFmt numFmtId="166" formatCode="0"/>
    <numFmt numFmtId="167" formatCode="\€#,##0;&quot;(€&quot;#,##0\)"/>
    <numFmt numFmtId="168" formatCode="\+0.0%;\-0.0%"/>
    <numFmt numFmtId="169" formatCode="0.0%"/>
    <numFmt numFmtId="170" formatCode="yyyy\-mm\-dd"/>
    <numFmt numFmtId="171" formatCode="\€#,##0.00"/>
    <numFmt numFmtId="172" formatCode="\€#,##0;&quot;(€&quot;#,##0\);\-"/>
    <numFmt numFmtId="173" formatCode="\€0.00"/>
    <numFmt numFmtId="174" formatCode="0%"/>
    <numFmt numFmtId="175" formatCode="\+0.0%;\-0.0%;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2E7D32"/>
      <name val="Arial"/>
      <family val="0"/>
      <charset val="1"/>
    </font>
    <font>
      <b val="true"/>
      <sz val="11"/>
      <name val="Arial"/>
      <family val="0"/>
      <charset val="1"/>
    </font>
    <font>
      <sz val="12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E7D3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Spend by fruit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Kraljic!B3</c:f>
              <c:strCache>
                <c:ptCount val="1"/>
                <c:pt idx="0">
                  <c:v>Spend_EUR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Kraljic!$A$4:$A$11</c:f>
              <c:strCache>
                <c:ptCount val="8"/>
                <c:pt idx="0">
                  <c:v>Bananas</c:v>
                </c:pt>
                <c:pt idx="1">
                  <c:v>Apples</c:v>
                </c:pt>
                <c:pt idx="2">
                  <c:v>Oranges</c:v>
                </c:pt>
                <c:pt idx="3">
                  <c:v>Avocados</c:v>
                </c:pt>
                <c:pt idx="4">
                  <c:v>Berries</c:v>
                </c:pt>
                <c:pt idx="5">
                  <c:v>Grapes</c:v>
                </c:pt>
                <c:pt idx="6">
                  <c:v>Pineapples</c:v>
                </c:pt>
                <c:pt idx="7">
                  <c:v>Mangoes</c:v>
                </c:pt>
              </c:strCache>
            </c:strRef>
          </c:cat>
          <c:val>
            <c:numRef>
              <c:f>Kraljic!$B$4:$B$11</c:f>
              <c:numCache>
                <c:formatCode>\€#,##0</c:formatCode>
                <c:ptCount val="8"/>
                <c:pt idx="0">
                  <c:v>6196676</c:v>
                </c:pt>
                <c:pt idx="1">
                  <c:v>3153666</c:v>
                </c:pt>
                <c:pt idx="2">
                  <c:v>2818196</c:v>
                </c:pt>
                <c:pt idx="3">
                  <c:v>3676938</c:v>
                </c:pt>
                <c:pt idx="4">
                  <c:v>3932980</c:v>
                </c:pt>
                <c:pt idx="5">
                  <c:v>2552000</c:v>
                </c:pt>
                <c:pt idx="6">
                  <c:v>2716056</c:v>
                </c:pt>
                <c:pt idx="7">
                  <c:v>944386</c:v>
                </c:pt>
              </c:numCache>
            </c:numRef>
          </c:val>
        </c:ser>
        <c:gapWidth val="150"/>
        <c:overlap val="0"/>
        <c:axId val="57864608"/>
        <c:axId val="81740246"/>
      </c:barChart>
      <c:catAx>
        <c:axId val="5786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740246"/>
        <c:crosses val="autoZero"/>
        <c:auto val="1"/>
        <c:lblAlgn val="ctr"/>
        <c:lblOffset val="100"/>
        <c:noMultiLvlLbl val="0"/>
      </c:catAx>
      <c:valAx>
        <c:axId val="817402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€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8646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fruit spend (EUR)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Monthly_Trend!B1</c:f>
              <c:strCache>
                <c:ptCount val="1"/>
                <c:pt idx="0">
                  <c:v>Spend_EUR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Monthly_Trend!$A$2:$A$13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Monthly_Trend!$B$2:$B$13</c:f>
              <c:numCache>
                <c:formatCode>\€#,##0</c:formatCode>
                <c:ptCount val="12"/>
                <c:pt idx="0">
                  <c:v>1757632</c:v>
                </c:pt>
                <c:pt idx="1">
                  <c:v>2166134</c:v>
                </c:pt>
                <c:pt idx="2">
                  <c:v>2164050</c:v>
                </c:pt>
                <c:pt idx="3">
                  <c:v>2427270</c:v>
                </c:pt>
                <c:pt idx="4">
                  <c:v>2143342</c:v>
                </c:pt>
                <c:pt idx="5">
                  <c:v>2245608</c:v>
                </c:pt>
                <c:pt idx="6">
                  <c:v>2610786</c:v>
                </c:pt>
                <c:pt idx="7">
                  <c:v>2780742</c:v>
                </c:pt>
                <c:pt idx="8">
                  <c:v>2153488</c:v>
                </c:pt>
                <c:pt idx="9">
                  <c:v>1892878</c:v>
                </c:pt>
                <c:pt idx="10">
                  <c:v>1750176</c:v>
                </c:pt>
                <c:pt idx="11">
                  <c:v>1898792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1205878"/>
        <c:axId val="58399600"/>
      </c:lineChart>
      <c:catAx>
        <c:axId val="212058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399600"/>
        <c:crosses val="autoZero"/>
        <c:auto val="1"/>
        <c:lblAlgn val="ctr"/>
        <c:lblOffset val="100"/>
        <c:noMultiLvlLbl val="0"/>
      </c:catAx>
      <c:valAx>
        <c:axId val="583996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€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2058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Supplier spend (Pareto)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Pareto!B1</c:f>
              <c:strCache>
                <c:ptCount val="1"/>
                <c:pt idx="0">
                  <c:v>Spend_EUR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Pareto!$A$2:$A$11</c:f>
              <c:strCache>
                <c:ptCount val="10"/>
                <c:pt idx="0">
                  <c:v>Ecuador Banana Co</c:v>
                </c:pt>
                <c:pt idx="1">
                  <c:v>Andes Fresh</c:v>
                </c:pt>
                <c:pt idx="2">
                  <c:v>AgroCosta Rica</c:v>
                </c:pt>
                <c:pt idx="3">
                  <c:v>Michoacan Avocado</c:v>
                </c:pt>
                <c:pt idx="4">
                  <c:v>Chile Fruit Alliance</c:v>
                </c:pt>
                <c:pt idx="5">
                  <c:v>Valencia Citrus SA</c:v>
                </c:pt>
                <c:pt idx="6">
                  <c:v>Cape Fruit Exporters</c:v>
                </c:pt>
                <c:pt idx="7">
                  <c:v>Huelva Berries</c:v>
                </c:pt>
                <c:pt idx="8">
                  <c:v>Tyrol Apple Coop</c:v>
                </c:pt>
                <c:pt idx="9">
                  <c:v>Kenya Agro</c:v>
                </c:pt>
              </c:strCache>
            </c:strRef>
          </c:cat>
          <c:val>
            <c:numRef>
              <c:f>Pareto!$B$2:$B$11</c:f>
              <c:numCache>
                <c:formatCode>\€#,##0</c:formatCode>
                <c:ptCount val="10"/>
                <c:pt idx="0">
                  <c:v>5492422</c:v>
                </c:pt>
                <c:pt idx="1">
                  <c:v>3768276</c:v>
                </c:pt>
                <c:pt idx="2">
                  <c:v>3420310</c:v>
                </c:pt>
                <c:pt idx="3">
                  <c:v>2459984</c:v>
                </c:pt>
                <c:pt idx="4">
                  <c:v>2202956</c:v>
                </c:pt>
                <c:pt idx="5">
                  <c:v>2105166</c:v>
                </c:pt>
                <c:pt idx="6">
                  <c:v>1965146</c:v>
                </c:pt>
                <c:pt idx="7">
                  <c:v>1871238</c:v>
                </c:pt>
                <c:pt idx="8">
                  <c:v>1835486</c:v>
                </c:pt>
                <c:pt idx="9">
                  <c:v>869914</c:v>
                </c:pt>
              </c:numCache>
            </c:numRef>
          </c:val>
        </c:ser>
        <c:gapWidth val="150"/>
        <c:overlap val="0"/>
        <c:axId val="18693735"/>
        <c:axId val="72964791"/>
      </c:barChart>
      <c:lineChart>
        <c:grouping val="standard"/>
        <c:varyColors val="0"/>
        <c:ser>
          <c:idx val="1"/>
          <c:order val="1"/>
          <c:tx>
            <c:strRef>
              <c:f>Pareto!D1</c:f>
              <c:strCache>
                <c:ptCount val="1"/>
                <c:pt idx="0">
                  <c:v>Cumulative %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Pareto!$A$2:$A$11</c:f>
              <c:strCache>
                <c:ptCount val="10"/>
                <c:pt idx="0">
                  <c:v>Ecuador Banana Co</c:v>
                </c:pt>
                <c:pt idx="1">
                  <c:v>Andes Fresh</c:v>
                </c:pt>
                <c:pt idx="2">
                  <c:v>AgroCosta Rica</c:v>
                </c:pt>
                <c:pt idx="3">
                  <c:v>Michoacan Avocado</c:v>
                </c:pt>
                <c:pt idx="4">
                  <c:v>Chile Fruit Alliance</c:v>
                </c:pt>
                <c:pt idx="5">
                  <c:v>Valencia Citrus SA</c:v>
                </c:pt>
                <c:pt idx="6">
                  <c:v>Cape Fruit Exporters</c:v>
                </c:pt>
                <c:pt idx="7">
                  <c:v>Huelva Berries</c:v>
                </c:pt>
                <c:pt idx="8">
                  <c:v>Tyrol Apple Coop</c:v>
                </c:pt>
                <c:pt idx="9">
                  <c:v>Kenya Agro</c:v>
                </c:pt>
              </c:strCache>
            </c:strRef>
          </c:cat>
          <c:val>
            <c:numRef>
              <c:f>Pareto!$D$2:$D$11</c:f>
              <c:numCache>
                <c:formatCode>0.0%</c:formatCode>
                <c:ptCount val="10"/>
                <c:pt idx="0">
                  <c:v>0.211320978597969</c:v>
                </c:pt>
                <c:pt idx="1">
                  <c:v>0.356305426615117</c:v>
                </c:pt>
                <c:pt idx="2">
                  <c:v>0.48790188011203</c:v>
                </c:pt>
                <c:pt idx="3">
                  <c:v>0.582549783389554</c:v>
                </c:pt>
                <c:pt idx="4">
                  <c:v>0.667308532394687</c:v>
                </c:pt>
                <c:pt idx="5">
                  <c:v>0.748304810399394</c:v>
                </c:pt>
                <c:pt idx="6">
                  <c:v>0.823913817829611</c:v>
                </c:pt>
                <c:pt idx="7">
                  <c:v>0.895909714239193</c:v>
                </c:pt>
                <c:pt idx="8">
                  <c:v>0.966530052174419</c:v>
                </c:pt>
                <c:pt idx="9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3402820"/>
        <c:axId val="54051385"/>
      </c:lineChart>
      <c:catAx>
        <c:axId val="18693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964791"/>
        <c:crosses val="autoZero"/>
        <c:auto val="1"/>
        <c:lblAlgn val="ctr"/>
        <c:lblOffset val="100"/>
        <c:noMultiLvlLbl val="0"/>
      </c:catAx>
      <c:valAx>
        <c:axId val="729647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€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693735"/>
        <c:crosses val="autoZero"/>
        <c:crossBetween val="between"/>
      </c:valAx>
      <c:catAx>
        <c:axId val="2340282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051385"/>
        <c:crosses val="autoZero"/>
        <c:auto val="1"/>
        <c:lblAlgn val="ctr"/>
        <c:lblOffset val="100"/>
        <c:noMultiLvlLbl val="0"/>
      </c:catAx>
      <c:valAx>
        <c:axId val="54051385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402820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190440</xdr:rowOff>
    </xdr:from>
    <xdr:to>
      <xdr:col>12</xdr:col>
      <xdr:colOff>255960</xdr:colOff>
      <xdr:row>15</xdr:row>
      <xdr:rowOff>153000</xdr:rowOff>
    </xdr:to>
    <xdr:graphicFrame>
      <xdr:nvGraphicFramePr>
        <xdr:cNvPr id="0" name="Chart 1"/>
        <xdr:cNvGraphicFramePr/>
      </xdr:nvGraphicFramePr>
      <xdr:xfrm>
        <a:off x="3430800" y="190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0</xdr:row>
      <xdr:rowOff>190440</xdr:rowOff>
    </xdr:from>
    <xdr:to>
      <xdr:col>16</xdr:col>
      <xdr:colOff>364680</xdr:colOff>
      <xdr:row>15</xdr:row>
      <xdr:rowOff>61920</xdr:rowOff>
    </xdr:to>
    <xdr:graphicFrame>
      <xdr:nvGraphicFramePr>
        <xdr:cNvPr id="1" name="Chart 1"/>
        <xdr:cNvGraphicFramePr/>
      </xdr:nvGraphicFramePr>
      <xdr:xfrm>
        <a:off x="6250320" y="190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0</xdr:row>
      <xdr:rowOff>190440</xdr:rowOff>
    </xdr:from>
    <xdr:to>
      <xdr:col>16</xdr:col>
      <xdr:colOff>364680</xdr:colOff>
      <xdr:row>15</xdr:row>
      <xdr:rowOff>61920</xdr:rowOff>
    </xdr:to>
    <xdr:graphicFrame>
      <xdr:nvGraphicFramePr>
        <xdr:cNvPr id="2" name="Chart 1"/>
        <xdr:cNvGraphicFramePr/>
      </xdr:nvGraphicFramePr>
      <xdr:xfrm>
        <a:off x="5897880" y="190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2" t="s">
        <v>4</v>
      </c>
    </row>
    <row r="9" customFormat="false" ht="15" hidden="false" customHeight="false" outlineLevel="0" collapsed="false">
      <c r="A9" s="2" t="s">
        <v>5</v>
      </c>
    </row>
    <row r="10" customFormat="false" ht="15" hidden="false" customHeight="false" outlineLevel="0" collapsed="false">
      <c r="A10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</cols>
  <sheetData>
    <row r="1" customFormat="false" ht="19.7" hidden="false" customHeight="false" outlineLevel="0" collapsed="false">
      <c r="A1" s="3" t="s">
        <v>7</v>
      </c>
    </row>
    <row r="3" customFormat="false" ht="15" hidden="false" customHeight="false" outlineLevel="0" collapsed="false">
      <c r="A3" s="4" t="s">
        <v>8</v>
      </c>
      <c r="B3" s="5" t="n">
        <f aca="false">SUM(Data!$J$2:$J$1201)</f>
        <v>25990898</v>
      </c>
    </row>
    <row r="4" customFormat="false" ht="15" hidden="false" customHeight="false" outlineLevel="0" collapsed="false">
      <c r="A4" s="4" t="s">
        <v>9</v>
      </c>
      <c r="B4" s="6" t="n">
        <f aca="false">COUNTA(Data!$A$2:$A$1201)</f>
        <v>1200</v>
      </c>
    </row>
    <row r="5" customFormat="false" ht="15" hidden="false" customHeight="false" outlineLevel="0" collapsed="false">
      <c r="A5" s="4" t="s">
        <v>10</v>
      </c>
      <c r="B5" s="6" t="n">
        <f aca="false">COUNTA(Pareto!A2:A11)</f>
        <v>10</v>
      </c>
    </row>
    <row r="6" customFormat="false" ht="15" hidden="false" customHeight="false" outlineLevel="0" collapsed="false">
      <c r="A6" s="4" t="s">
        <v>11</v>
      </c>
      <c r="B6" s="7" t="n">
        <f aca="false">SUM(Data!$K$2:$K$1201)</f>
        <v>329610</v>
      </c>
    </row>
    <row r="7" customFormat="false" ht="15" hidden="false" customHeight="false" outlineLevel="0" collapsed="false">
      <c r="A7" s="4" t="s">
        <v>12</v>
      </c>
      <c r="B7" s="8" t="n">
        <f aca="false">B6/(B3-B6)</f>
        <v>0.0128446397546374</v>
      </c>
    </row>
    <row r="8" customFormat="false" ht="15" hidden="false" customHeight="false" outlineLevel="0" collapsed="false">
      <c r="A8" s="4" t="s">
        <v>13</v>
      </c>
      <c r="B8" s="9" t="n">
        <f aca="false">AVERAGE(Data!$M$2:$M$1201)</f>
        <v>0.938333333333333</v>
      </c>
    </row>
    <row r="9" customFormat="false" ht="15" hidden="false" customHeight="false" outlineLevel="0" collapsed="false">
      <c r="A9" s="4" t="s">
        <v>14</v>
      </c>
      <c r="B9" s="9" t="n">
        <f aca="false">Pareto!D4</f>
        <v>0.48790188011203</v>
      </c>
    </row>
    <row r="10" customFormat="false" ht="15" hidden="false" customHeight="false" outlineLevel="0" collapsed="false">
      <c r="A10" s="4" t="s">
        <v>15</v>
      </c>
      <c r="B10" s="9" t="n">
        <f aca="false">AVERAGE(Data!$N$2:$N$1201)</f>
        <v>0.0197758333333333</v>
      </c>
    </row>
    <row r="12" customFormat="false" ht="15" hidden="false" customHeight="false" outlineLevel="0" collapsed="false">
      <c r="A12" s="4" t="s">
        <v>16</v>
      </c>
    </row>
    <row r="13" customFormat="false" ht="15" hidden="false" customHeight="false" outlineLevel="0" collapsed="false">
      <c r="A13" s="10" t="s">
        <v>17</v>
      </c>
    </row>
    <row r="14" customFormat="false" ht="15" hidden="false" customHeight="false" outlineLevel="0" collapsed="false">
      <c r="A14" s="10" t="s">
        <v>18</v>
      </c>
    </row>
    <row r="15" customFormat="false" ht="15" hidden="false" customHeight="false" outlineLevel="0" collapsed="false">
      <c r="A15" s="1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9" min="8" style="0" width="12"/>
    <col collapsed="false" customWidth="true" hidden="false" outlineLevel="0" max="11" min="10" style="0" width="13"/>
    <col collapsed="false" customWidth="true" hidden="false" outlineLevel="0" max="14" min="12" style="0" width="10"/>
  </cols>
  <sheetData>
    <row r="1" customFormat="false" ht="39.55" hidden="false" customHeight="false" outlineLevel="0" collapsed="false">
      <c r="A1" s="11" t="s">
        <v>20</v>
      </c>
      <c r="B1" s="11" t="s">
        <v>21</v>
      </c>
      <c r="C1" s="11" t="s">
        <v>22</v>
      </c>
      <c r="D1" s="11" t="s">
        <v>23</v>
      </c>
      <c r="E1" s="11" t="s">
        <v>24</v>
      </c>
      <c r="F1" s="11" t="s">
        <v>25</v>
      </c>
      <c r="G1" s="11" t="s">
        <v>26</v>
      </c>
      <c r="H1" s="11" t="s">
        <v>27</v>
      </c>
      <c r="I1" s="11" t="s">
        <v>28</v>
      </c>
      <c r="J1" s="11" t="s">
        <v>29</v>
      </c>
      <c r="K1" s="11" t="s">
        <v>30</v>
      </c>
      <c r="L1" s="11" t="s">
        <v>31</v>
      </c>
      <c r="M1" s="11" t="s">
        <v>32</v>
      </c>
      <c r="N1" s="11" t="s">
        <v>33</v>
      </c>
    </row>
    <row r="2" customFormat="false" ht="15" hidden="false" customHeight="false" outlineLevel="0" collapsed="false">
      <c r="A2" s="12" t="s">
        <v>34</v>
      </c>
      <c r="B2" s="13" t="n">
        <v>45658</v>
      </c>
      <c r="C2" s="12" t="str">
        <f aca="false">TEXT(B2,"yyyy-mm")</f>
        <v>2025-01</v>
      </c>
      <c r="D2" s="12" t="s">
        <v>35</v>
      </c>
      <c r="E2" s="12" t="s">
        <v>36</v>
      </c>
      <c r="F2" s="12" t="s">
        <v>37</v>
      </c>
      <c r="G2" s="14" t="n">
        <v>2000</v>
      </c>
      <c r="H2" s="15" t="n">
        <v>14.69</v>
      </c>
      <c r="I2" s="15" t="n">
        <v>15.21</v>
      </c>
      <c r="J2" s="16" t="n">
        <f aca="false">G2*H2</f>
        <v>29380</v>
      </c>
      <c r="K2" s="16" t="n">
        <f aca="false">(H2-I2)*G2</f>
        <v>-1040</v>
      </c>
      <c r="L2" s="17" t="n">
        <f aca="false">IF(I2=0,0,H2/I2-1)</f>
        <v>-0.0341880341880343</v>
      </c>
      <c r="M2" s="14" t="n">
        <v>1</v>
      </c>
      <c r="N2" s="18" t="n">
        <v>0.028</v>
      </c>
    </row>
    <row r="3" customFormat="false" ht="15" hidden="false" customHeight="false" outlineLevel="0" collapsed="false">
      <c r="A3" s="12" t="s">
        <v>38</v>
      </c>
      <c r="B3" s="13" t="n">
        <v>45658</v>
      </c>
      <c r="C3" s="12" t="str">
        <f aca="false">TEXT(B3,"yyyy-mm")</f>
        <v>2025-01</v>
      </c>
      <c r="D3" s="12" t="s">
        <v>39</v>
      </c>
      <c r="E3" s="12" t="s">
        <v>40</v>
      </c>
      <c r="F3" s="12" t="s">
        <v>41</v>
      </c>
      <c r="G3" s="14" t="n">
        <v>2000</v>
      </c>
      <c r="H3" s="15" t="n">
        <v>16.8</v>
      </c>
      <c r="I3" s="15" t="n">
        <v>16.07</v>
      </c>
      <c r="J3" s="16" t="n">
        <f aca="false">G3*H3</f>
        <v>33600</v>
      </c>
      <c r="K3" s="16" t="n">
        <f aca="false">(H3-I3)*G3</f>
        <v>1460</v>
      </c>
      <c r="L3" s="17" t="n">
        <f aca="false">IF(I3=0,0,H3/I3-1)</f>
        <v>0.0454262601120099</v>
      </c>
      <c r="M3" s="14" t="n">
        <v>1</v>
      </c>
      <c r="N3" s="18" t="n">
        <v>0.006</v>
      </c>
    </row>
    <row r="4" customFormat="false" ht="15" hidden="false" customHeight="false" outlineLevel="0" collapsed="false">
      <c r="A4" s="12" t="s">
        <v>42</v>
      </c>
      <c r="B4" s="13" t="n">
        <v>45658</v>
      </c>
      <c r="C4" s="12" t="str">
        <f aca="false">TEXT(B4,"yyyy-mm")</f>
        <v>2025-01</v>
      </c>
      <c r="D4" s="12" t="s">
        <v>35</v>
      </c>
      <c r="E4" s="12" t="s">
        <v>43</v>
      </c>
      <c r="F4" s="12" t="s">
        <v>44</v>
      </c>
      <c r="G4" s="14" t="n">
        <v>400</v>
      </c>
      <c r="H4" s="15" t="n">
        <v>15.87</v>
      </c>
      <c r="I4" s="15" t="n">
        <v>15.62</v>
      </c>
      <c r="J4" s="16" t="n">
        <f aca="false">G4*H4</f>
        <v>6348</v>
      </c>
      <c r="K4" s="16" t="n">
        <f aca="false">(H4-I4)*G4</f>
        <v>100</v>
      </c>
      <c r="L4" s="17" t="n">
        <f aca="false">IF(I4=0,0,H4/I4-1)</f>
        <v>0.0160051216389245</v>
      </c>
      <c r="M4" s="14" t="n">
        <v>1</v>
      </c>
      <c r="N4" s="18" t="n">
        <v>0.004</v>
      </c>
    </row>
    <row r="5" customFormat="false" ht="15" hidden="false" customHeight="false" outlineLevel="0" collapsed="false">
      <c r="A5" s="12" t="s">
        <v>45</v>
      </c>
      <c r="B5" s="13" t="n">
        <v>45658</v>
      </c>
      <c r="C5" s="12" t="str">
        <f aca="false">TEXT(B5,"yyyy-mm")</f>
        <v>2025-01</v>
      </c>
      <c r="D5" s="12" t="s">
        <v>39</v>
      </c>
      <c r="E5" s="12" t="s">
        <v>46</v>
      </c>
      <c r="F5" s="12" t="s">
        <v>47</v>
      </c>
      <c r="G5" s="14" t="n">
        <v>1000</v>
      </c>
      <c r="H5" s="15" t="n">
        <v>17.31</v>
      </c>
      <c r="I5" s="15" t="n">
        <v>16.11</v>
      </c>
      <c r="J5" s="16" t="n">
        <f aca="false">G5*H5</f>
        <v>17310</v>
      </c>
      <c r="K5" s="16" t="n">
        <f aca="false">(H5-I5)*G5</f>
        <v>1200</v>
      </c>
      <c r="L5" s="17" t="n">
        <f aca="false">IF(I5=0,0,H5/I5-1)</f>
        <v>0.0744878957169459</v>
      </c>
      <c r="M5" s="14" t="n">
        <v>1</v>
      </c>
      <c r="N5" s="18" t="n">
        <v>0.005</v>
      </c>
    </row>
    <row r="6" customFormat="false" ht="15" hidden="false" customHeight="false" outlineLevel="0" collapsed="false">
      <c r="A6" s="12" t="s">
        <v>48</v>
      </c>
      <c r="B6" s="13" t="n">
        <v>45658</v>
      </c>
      <c r="C6" s="12" t="str">
        <f aca="false">TEXT(B6,"yyyy-mm")</f>
        <v>2025-01</v>
      </c>
      <c r="D6" s="12" t="s">
        <v>39</v>
      </c>
      <c r="E6" s="12" t="s">
        <v>49</v>
      </c>
      <c r="F6" s="12" t="s">
        <v>50</v>
      </c>
      <c r="G6" s="14" t="n">
        <v>2000</v>
      </c>
      <c r="H6" s="15" t="n">
        <v>16.39</v>
      </c>
      <c r="I6" s="15" t="n">
        <v>16.47</v>
      </c>
      <c r="J6" s="16" t="n">
        <f aca="false">G6*H6</f>
        <v>32780</v>
      </c>
      <c r="K6" s="16" t="n">
        <f aca="false">(H6-I6)*G6</f>
        <v>-159.999999999997</v>
      </c>
      <c r="L6" s="17" t="n">
        <f aca="false">IF(I6=0,0,H6/I6-1)</f>
        <v>-0.00485731633272601</v>
      </c>
      <c r="M6" s="14" t="n">
        <v>1</v>
      </c>
      <c r="N6" s="18" t="n">
        <v>0.022</v>
      </c>
    </row>
    <row r="7" customFormat="false" ht="15" hidden="false" customHeight="false" outlineLevel="0" collapsed="false">
      <c r="A7" s="12" t="s">
        <v>51</v>
      </c>
      <c r="B7" s="13" t="n">
        <v>45658</v>
      </c>
      <c r="C7" s="12" t="str">
        <f aca="false">TEXT(B7,"yyyy-mm")</f>
        <v>2025-01</v>
      </c>
      <c r="D7" s="12" t="s">
        <v>35</v>
      </c>
      <c r="E7" s="12" t="s">
        <v>36</v>
      </c>
      <c r="F7" s="12" t="s">
        <v>37</v>
      </c>
      <c r="G7" s="14" t="n">
        <v>1200</v>
      </c>
      <c r="H7" s="15" t="n">
        <v>14.87</v>
      </c>
      <c r="I7" s="15" t="n">
        <v>15.42</v>
      </c>
      <c r="J7" s="16" t="n">
        <f aca="false">G7*H7</f>
        <v>17844</v>
      </c>
      <c r="K7" s="16" t="n">
        <f aca="false">(H7-I7)*G7</f>
        <v>-660.000000000001</v>
      </c>
      <c r="L7" s="17" t="n">
        <f aca="false">IF(I7=0,0,H7/I7-1)</f>
        <v>-0.035667963683528</v>
      </c>
      <c r="M7" s="14" t="n">
        <v>1</v>
      </c>
      <c r="N7" s="18" t="n">
        <v>0.023</v>
      </c>
    </row>
    <row r="8" customFormat="false" ht="15" hidden="false" customHeight="false" outlineLevel="0" collapsed="false">
      <c r="A8" s="12" t="s">
        <v>52</v>
      </c>
      <c r="B8" s="13" t="n">
        <v>45658</v>
      </c>
      <c r="C8" s="12" t="str">
        <f aca="false">TEXT(B8,"yyyy-mm")</f>
        <v>2025-01</v>
      </c>
      <c r="D8" s="12" t="s">
        <v>53</v>
      </c>
      <c r="E8" s="12" t="s">
        <v>54</v>
      </c>
      <c r="F8" s="12" t="s">
        <v>55</v>
      </c>
      <c r="G8" s="14" t="n">
        <v>800</v>
      </c>
      <c r="H8" s="15" t="n">
        <v>13.33</v>
      </c>
      <c r="I8" s="15" t="n">
        <v>13.37</v>
      </c>
      <c r="J8" s="16" t="n">
        <f aca="false">G8*H8</f>
        <v>10664</v>
      </c>
      <c r="K8" s="16" t="n">
        <f aca="false">(H8-I8)*G8</f>
        <v>-31.9999999999993</v>
      </c>
      <c r="L8" s="17" t="n">
        <f aca="false">IF(I8=0,0,H8/I8-1)</f>
        <v>-0.00299177262528039</v>
      </c>
      <c r="M8" s="14" t="n">
        <v>1</v>
      </c>
      <c r="N8" s="18" t="n">
        <v>0.009</v>
      </c>
    </row>
    <row r="9" customFormat="false" ht="15" hidden="false" customHeight="false" outlineLevel="0" collapsed="false">
      <c r="A9" s="12" t="s">
        <v>56</v>
      </c>
      <c r="B9" s="13" t="n">
        <v>45658</v>
      </c>
      <c r="C9" s="12" t="str">
        <f aca="false">TEXT(B9,"yyyy-mm")</f>
        <v>2025-01</v>
      </c>
      <c r="D9" s="12" t="s">
        <v>35</v>
      </c>
      <c r="E9" s="12" t="s">
        <v>43</v>
      </c>
      <c r="F9" s="12" t="s">
        <v>44</v>
      </c>
      <c r="G9" s="14" t="n">
        <v>1600</v>
      </c>
      <c r="H9" s="15" t="n">
        <v>14.97</v>
      </c>
      <c r="I9" s="15" t="n">
        <v>14.93</v>
      </c>
      <c r="J9" s="16" t="n">
        <f aca="false">G9*H9</f>
        <v>23952</v>
      </c>
      <c r="K9" s="16" t="n">
        <f aca="false">(H9-I9)*G9</f>
        <v>64.0000000000015</v>
      </c>
      <c r="L9" s="17" t="n">
        <f aca="false">IF(I9=0,0,H9/I9-1)</f>
        <v>0.00267916945746816</v>
      </c>
      <c r="M9" s="14" t="n">
        <v>1</v>
      </c>
      <c r="N9" s="18" t="n">
        <v>0.015</v>
      </c>
    </row>
    <row r="10" customFormat="false" ht="15" hidden="false" customHeight="false" outlineLevel="0" collapsed="false">
      <c r="A10" s="12" t="s">
        <v>57</v>
      </c>
      <c r="B10" s="13" t="n">
        <v>45658</v>
      </c>
      <c r="C10" s="12" t="str">
        <f aca="false">TEXT(B10,"yyyy-mm")</f>
        <v>2025-01</v>
      </c>
      <c r="D10" s="12" t="s">
        <v>58</v>
      </c>
      <c r="E10" s="12" t="s">
        <v>59</v>
      </c>
      <c r="F10" s="12" t="s">
        <v>55</v>
      </c>
      <c r="G10" s="14" t="n">
        <v>2000</v>
      </c>
      <c r="H10" s="15" t="n">
        <v>25.13</v>
      </c>
      <c r="I10" s="15" t="n">
        <v>23.09</v>
      </c>
      <c r="J10" s="16" t="n">
        <f aca="false">G10*H10</f>
        <v>50260</v>
      </c>
      <c r="K10" s="16" t="n">
        <f aca="false">(H10-I10)*G10</f>
        <v>4080</v>
      </c>
      <c r="L10" s="17" t="n">
        <f aca="false">IF(I10=0,0,H10/I10-1)</f>
        <v>0.0883499350368124</v>
      </c>
      <c r="M10" s="14" t="n">
        <v>1</v>
      </c>
      <c r="N10" s="18" t="n">
        <v>0.028</v>
      </c>
    </row>
    <row r="11" customFormat="false" ht="15" hidden="false" customHeight="false" outlineLevel="0" collapsed="false">
      <c r="A11" s="12" t="s">
        <v>60</v>
      </c>
      <c r="B11" s="13" t="n">
        <v>45658</v>
      </c>
      <c r="C11" s="12" t="str">
        <f aca="false">TEXT(B11,"yyyy-mm")</f>
        <v>2025-01</v>
      </c>
      <c r="D11" s="12" t="s">
        <v>61</v>
      </c>
      <c r="E11" s="12" t="s">
        <v>43</v>
      </c>
      <c r="F11" s="12" t="s">
        <v>44</v>
      </c>
      <c r="G11" s="14" t="n">
        <v>1600</v>
      </c>
      <c r="H11" s="15" t="n">
        <v>13.86</v>
      </c>
      <c r="I11" s="15" t="n">
        <v>12.99</v>
      </c>
      <c r="J11" s="16" t="n">
        <f aca="false">G11*H11</f>
        <v>22176</v>
      </c>
      <c r="K11" s="16" t="n">
        <f aca="false">(H11-I11)*G11</f>
        <v>1392</v>
      </c>
      <c r="L11" s="17" t="n">
        <f aca="false">IF(I11=0,0,H11/I11-1)</f>
        <v>0.066974595842956</v>
      </c>
      <c r="M11" s="14" t="n">
        <v>1</v>
      </c>
      <c r="N11" s="18" t="n">
        <v>0.015</v>
      </c>
    </row>
    <row r="12" customFormat="false" ht="15" hidden="false" customHeight="false" outlineLevel="0" collapsed="false">
      <c r="A12" s="12" t="s">
        <v>62</v>
      </c>
      <c r="B12" s="13" t="n">
        <v>45659</v>
      </c>
      <c r="C12" s="12" t="str">
        <f aca="false">TEXT(B12,"yyyy-mm")</f>
        <v>2025-01</v>
      </c>
      <c r="D12" s="12" t="s">
        <v>61</v>
      </c>
      <c r="E12" s="12" t="s">
        <v>36</v>
      </c>
      <c r="F12" s="12" t="s">
        <v>37</v>
      </c>
      <c r="G12" s="14" t="n">
        <v>1600</v>
      </c>
      <c r="H12" s="15" t="n">
        <v>12.97</v>
      </c>
      <c r="I12" s="15" t="n">
        <v>12.94</v>
      </c>
      <c r="J12" s="16" t="n">
        <f aca="false">G12*H12</f>
        <v>20752</v>
      </c>
      <c r="K12" s="16" t="n">
        <f aca="false">(H12-I12)*G12</f>
        <v>48.0000000000018</v>
      </c>
      <c r="L12" s="17" t="n">
        <f aca="false">IF(I12=0,0,H12/I12-1)</f>
        <v>0.00231839258114386</v>
      </c>
      <c r="M12" s="14" t="n">
        <v>1</v>
      </c>
      <c r="N12" s="18" t="n">
        <v>0.022</v>
      </c>
    </row>
    <row r="13" customFormat="false" ht="15" hidden="false" customHeight="false" outlineLevel="0" collapsed="false">
      <c r="A13" s="12" t="s">
        <v>63</v>
      </c>
      <c r="B13" s="13" t="n">
        <v>45659</v>
      </c>
      <c r="C13" s="12" t="str">
        <f aca="false">TEXT(B13,"yyyy-mm")</f>
        <v>2025-01</v>
      </c>
      <c r="D13" s="12" t="s">
        <v>39</v>
      </c>
      <c r="E13" s="12" t="s">
        <v>46</v>
      </c>
      <c r="F13" s="12" t="s">
        <v>47</v>
      </c>
      <c r="G13" s="14" t="n">
        <v>2000</v>
      </c>
      <c r="H13" s="15" t="n">
        <v>17.68</v>
      </c>
      <c r="I13" s="15" t="n">
        <v>16.78</v>
      </c>
      <c r="J13" s="16" t="n">
        <f aca="false">G13*H13</f>
        <v>35360</v>
      </c>
      <c r="K13" s="16" t="n">
        <f aca="false">(H13-I13)*G13</f>
        <v>1800</v>
      </c>
      <c r="L13" s="17" t="n">
        <f aca="false">IF(I13=0,0,H13/I13-1)</f>
        <v>0.0536352800953515</v>
      </c>
      <c r="M13" s="14" t="n">
        <v>1</v>
      </c>
      <c r="N13" s="18" t="n">
        <v>0.009</v>
      </c>
    </row>
    <row r="14" customFormat="false" ht="15" hidden="false" customHeight="false" outlineLevel="0" collapsed="false">
      <c r="A14" s="12" t="s">
        <v>64</v>
      </c>
      <c r="B14" s="13" t="n">
        <v>45659</v>
      </c>
      <c r="C14" s="12" t="str">
        <f aca="false">TEXT(B14,"yyyy-mm")</f>
        <v>2025-01</v>
      </c>
      <c r="D14" s="12" t="s">
        <v>61</v>
      </c>
      <c r="E14" s="12" t="s">
        <v>43</v>
      </c>
      <c r="F14" s="12" t="s">
        <v>44</v>
      </c>
      <c r="G14" s="14" t="n">
        <v>400</v>
      </c>
      <c r="H14" s="15" t="n">
        <v>12.99</v>
      </c>
      <c r="I14" s="15" t="n">
        <v>12.97</v>
      </c>
      <c r="J14" s="16" t="n">
        <f aca="false">G14*H14</f>
        <v>5196</v>
      </c>
      <c r="K14" s="16" t="n">
        <f aca="false">(H14-I14)*G14</f>
        <v>7.99999999999983</v>
      </c>
      <c r="L14" s="17" t="n">
        <f aca="false">IF(I14=0,0,H14/I14-1)</f>
        <v>0.00154202004626058</v>
      </c>
      <c r="M14" s="14" t="n">
        <v>1</v>
      </c>
      <c r="N14" s="18" t="n">
        <v>0.019</v>
      </c>
    </row>
    <row r="15" customFormat="false" ht="15" hidden="false" customHeight="false" outlineLevel="0" collapsed="false">
      <c r="A15" s="12" t="s">
        <v>65</v>
      </c>
      <c r="B15" s="13" t="n">
        <v>45659</v>
      </c>
      <c r="C15" s="12" t="str">
        <f aca="false">TEXT(B15,"yyyy-mm")</f>
        <v>2025-01</v>
      </c>
      <c r="D15" s="12" t="s">
        <v>61</v>
      </c>
      <c r="E15" s="12" t="s">
        <v>43</v>
      </c>
      <c r="F15" s="12" t="s">
        <v>44</v>
      </c>
      <c r="G15" s="14" t="n">
        <v>400</v>
      </c>
      <c r="H15" s="15" t="n">
        <v>14.11</v>
      </c>
      <c r="I15" s="15" t="n">
        <v>13.48</v>
      </c>
      <c r="J15" s="16" t="n">
        <f aca="false">G15*H15</f>
        <v>5644</v>
      </c>
      <c r="K15" s="16" t="n">
        <f aca="false">(H15-I15)*G15</f>
        <v>252</v>
      </c>
      <c r="L15" s="17" t="n">
        <f aca="false">IF(I15=0,0,H15/I15-1)</f>
        <v>0.0467359050445104</v>
      </c>
      <c r="M15" s="14" t="n">
        <v>1</v>
      </c>
      <c r="N15" s="18" t="n">
        <v>0.004</v>
      </c>
    </row>
    <row r="16" customFormat="false" ht="15" hidden="false" customHeight="false" outlineLevel="0" collapsed="false">
      <c r="A16" s="12" t="s">
        <v>66</v>
      </c>
      <c r="B16" s="13" t="n">
        <v>45660</v>
      </c>
      <c r="C16" s="12" t="str">
        <f aca="false">TEXT(B16,"yyyy-mm")</f>
        <v>2025-01</v>
      </c>
      <c r="D16" s="12" t="s">
        <v>58</v>
      </c>
      <c r="E16" s="12" t="s">
        <v>59</v>
      </c>
      <c r="F16" s="12" t="s">
        <v>55</v>
      </c>
      <c r="G16" s="14" t="n">
        <v>600</v>
      </c>
      <c r="H16" s="15" t="n">
        <v>24.19</v>
      </c>
      <c r="I16" s="15" t="n">
        <v>23.37</v>
      </c>
      <c r="J16" s="16" t="n">
        <f aca="false">G16*H16</f>
        <v>14514</v>
      </c>
      <c r="K16" s="16" t="n">
        <f aca="false">(H16-I16)*G16</f>
        <v>492</v>
      </c>
      <c r="L16" s="17" t="n">
        <f aca="false">IF(I16=0,0,H16/I16-1)</f>
        <v>0.0350877192982457</v>
      </c>
      <c r="M16" s="14" t="n">
        <v>1</v>
      </c>
      <c r="N16" s="18" t="n">
        <v>0.028</v>
      </c>
    </row>
    <row r="17" customFormat="false" ht="15" hidden="false" customHeight="false" outlineLevel="0" collapsed="false">
      <c r="A17" s="12" t="s">
        <v>67</v>
      </c>
      <c r="B17" s="13" t="n">
        <v>45660</v>
      </c>
      <c r="C17" s="12" t="str">
        <f aca="false">TEXT(B17,"yyyy-mm")</f>
        <v>2025-01</v>
      </c>
      <c r="D17" s="12" t="s">
        <v>53</v>
      </c>
      <c r="E17" s="12" t="s">
        <v>54</v>
      </c>
      <c r="F17" s="12" t="s">
        <v>55</v>
      </c>
      <c r="G17" s="14" t="n">
        <v>400</v>
      </c>
      <c r="H17" s="15" t="n">
        <v>13.39</v>
      </c>
      <c r="I17" s="15" t="n">
        <v>13.02</v>
      </c>
      <c r="J17" s="16" t="n">
        <f aca="false">G17*H17</f>
        <v>5356</v>
      </c>
      <c r="K17" s="16" t="n">
        <f aca="false">(H17-I17)*G17</f>
        <v>148</v>
      </c>
      <c r="L17" s="17" t="n">
        <f aca="false">IF(I17=0,0,H17/I17-1)</f>
        <v>0.0284178187403994</v>
      </c>
      <c r="M17" s="14" t="n">
        <v>1</v>
      </c>
      <c r="N17" s="18" t="n">
        <v>0.01</v>
      </c>
    </row>
    <row r="18" customFormat="false" ht="15" hidden="false" customHeight="false" outlineLevel="0" collapsed="false">
      <c r="A18" s="12" t="s">
        <v>68</v>
      </c>
      <c r="B18" s="13" t="n">
        <v>45660</v>
      </c>
      <c r="C18" s="12" t="str">
        <f aca="false">TEXT(B18,"yyyy-mm")</f>
        <v>2025-01</v>
      </c>
      <c r="D18" s="12" t="s">
        <v>35</v>
      </c>
      <c r="E18" s="12" t="s">
        <v>43</v>
      </c>
      <c r="F18" s="12" t="s">
        <v>44</v>
      </c>
      <c r="G18" s="14" t="n">
        <v>1600</v>
      </c>
      <c r="H18" s="15" t="n">
        <v>15.24</v>
      </c>
      <c r="I18" s="15" t="n">
        <v>15.06</v>
      </c>
      <c r="J18" s="16" t="n">
        <f aca="false">G18*H18</f>
        <v>24384</v>
      </c>
      <c r="K18" s="16" t="n">
        <f aca="false">(H18-I18)*G18</f>
        <v>288</v>
      </c>
      <c r="L18" s="17" t="n">
        <f aca="false">IF(I18=0,0,H18/I18-1)</f>
        <v>0.0119521912350598</v>
      </c>
      <c r="M18" s="14" t="n">
        <v>1</v>
      </c>
      <c r="N18" s="18" t="n">
        <v>0.014</v>
      </c>
    </row>
    <row r="19" customFormat="false" ht="15" hidden="false" customHeight="false" outlineLevel="0" collapsed="false">
      <c r="A19" s="12" t="s">
        <v>69</v>
      </c>
      <c r="B19" s="13" t="n">
        <v>45661</v>
      </c>
      <c r="C19" s="12" t="str">
        <f aca="false">TEXT(B19,"yyyy-mm")</f>
        <v>2025-01</v>
      </c>
      <c r="D19" s="12" t="s">
        <v>61</v>
      </c>
      <c r="E19" s="12" t="s">
        <v>36</v>
      </c>
      <c r="F19" s="12" t="s">
        <v>37</v>
      </c>
      <c r="G19" s="14" t="n">
        <v>1000</v>
      </c>
      <c r="H19" s="15" t="n">
        <v>12.73</v>
      </c>
      <c r="I19" s="15" t="n">
        <v>13.16</v>
      </c>
      <c r="J19" s="16" t="n">
        <f aca="false">G19*H19</f>
        <v>12730</v>
      </c>
      <c r="K19" s="16" t="n">
        <f aca="false">(H19-I19)*G19</f>
        <v>-430</v>
      </c>
      <c r="L19" s="17" t="n">
        <f aca="false">IF(I19=0,0,H19/I19-1)</f>
        <v>-0.0326747720364742</v>
      </c>
      <c r="M19" s="14" t="n">
        <v>1</v>
      </c>
      <c r="N19" s="18" t="n">
        <v>0.024</v>
      </c>
    </row>
    <row r="20" customFormat="false" ht="15" hidden="false" customHeight="false" outlineLevel="0" collapsed="false">
      <c r="A20" s="12" t="s">
        <v>70</v>
      </c>
      <c r="B20" s="13" t="n">
        <v>45661</v>
      </c>
      <c r="C20" s="12" t="str">
        <f aca="false">TEXT(B20,"yyyy-mm")</f>
        <v>2025-01</v>
      </c>
      <c r="D20" s="12" t="s">
        <v>53</v>
      </c>
      <c r="E20" s="12" t="s">
        <v>49</v>
      </c>
      <c r="F20" s="12" t="s">
        <v>50</v>
      </c>
      <c r="G20" s="14" t="n">
        <v>1200</v>
      </c>
      <c r="H20" s="15" t="n">
        <v>12.78</v>
      </c>
      <c r="I20" s="15" t="n">
        <v>13.08</v>
      </c>
      <c r="J20" s="16" t="n">
        <f aca="false">G20*H20</f>
        <v>15336</v>
      </c>
      <c r="K20" s="16" t="n">
        <f aca="false">(H20-I20)*G20</f>
        <v>-360.000000000001</v>
      </c>
      <c r="L20" s="17" t="n">
        <f aca="false">IF(I20=0,0,H20/I20-1)</f>
        <v>-0.0229357798165138</v>
      </c>
      <c r="M20" s="14" t="n">
        <v>1</v>
      </c>
      <c r="N20" s="18" t="n">
        <v>0.028</v>
      </c>
    </row>
    <row r="21" customFormat="false" ht="15" hidden="false" customHeight="false" outlineLevel="0" collapsed="false">
      <c r="A21" s="12" t="s">
        <v>71</v>
      </c>
      <c r="B21" s="13" t="n">
        <v>45662</v>
      </c>
      <c r="C21" s="12" t="str">
        <f aca="false">TEXT(B21,"yyyy-mm")</f>
        <v>2025-01</v>
      </c>
      <c r="D21" s="12" t="s">
        <v>61</v>
      </c>
      <c r="E21" s="12" t="s">
        <v>36</v>
      </c>
      <c r="F21" s="12" t="s">
        <v>37</v>
      </c>
      <c r="G21" s="14" t="n">
        <v>600</v>
      </c>
      <c r="H21" s="15" t="n">
        <v>13.06</v>
      </c>
      <c r="I21" s="15" t="n">
        <v>13.27</v>
      </c>
      <c r="J21" s="16" t="n">
        <f aca="false">G21*H21</f>
        <v>7836</v>
      </c>
      <c r="K21" s="16" t="n">
        <f aca="false">(H21-I21)*G21</f>
        <v>-125.999999999999</v>
      </c>
      <c r="L21" s="17" t="n">
        <f aca="false">IF(I21=0,0,H21/I21-1)</f>
        <v>-0.015825169555388</v>
      </c>
      <c r="M21" s="14" t="n">
        <v>1</v>
      </c>
      <c r="N21" s="18" t="n">
        <v>0.021</v>
      </c>
    </row>
    <row r="22" customFormat="false" ht="15" hidden="false" customHeight="false" outlineLevel="0" collapsed="false">
      <c r="A22" s="12" t="s">
        <v>72</v>
      </c>
      <c r="B22" s="13" t="n">
        <v>45663</v>
      </c>
      <c r="C22" s="12" t="str">
        <f aca="false">TEXT(B22,"yyyy-mm")</f>
        <v>2025-01</v>
      </c>
      <c r="D22" s="12" t="s">
        <v>35</v>
      </c>
      <c r="E22" s="12" t="s">
        <v>43</v>
      </c>
      <c r="F22" s="12" t="s">
        <v>44</v>
      </c>
      <c r="G22" s="14" t="n">
        <v>2400</v>
      </c>
      <c r="H22" s="15" t="n">
        <v>16.1</v>
      </c>
      <c r="I22" s="15" t="n">
        <v>15.65</v>
      </c>
      <c r="J22" s="16" t="n">
        <f aca="false">G22*H22</f>
        <v>38640</v>
      </c>
      <c r="K22" s="16" t="n">
        <f aca="false">(H22-I22)*G22</f>
        <v>1080</v>
      </c>
      <c r="L22" s="17" t="n">
        <f aca="false">IF(I22=0,0,H22/I22-1)</f>
        <v>0.0287539936102237</v>
      </c>
      <c r="M22" s="14" t="n">
        <v>1</v>
      </c>
      <c r="N22" s="18" t="n">
        <v>0.007</v>
      </c>
    </row>
    <row r="23" customFormat="false" ht="15" hidden="false" customHeight="false" outlineLevel="0" collapsed="false">
      <c r="A23" s="12" t="s">
        <v>73</v>
      </c>
      <c r="B23" s="13" t="n">
        <v>45663</v>
      </c>
      <c r="C23" s="12" t="str">
        <f aca="false">TEXT(B23,"yyyy-mm")</f>
        <v>2025-01</v>
      </c>
      <c r="D23" s="12" t="s">
        <v>53</v>
      </c>
      <c r="E23" s="12" t="s">
        <v>54</v>
      </c>
      <c r="F23" s="12" t="s">
        <v>55</v>
      </c>
      <c r="G23" s="14" t="n">
        <v>1200</v>
      </c>
      <c r="H23" s="15" t="n">
        <v>13.36</v>
      </c>
      <c r="I23" s="15" t="n">
        <v>12.75</v>
      </c>
      <c r="J23" s="16" t="n">
        <f aca="false">G23*H23</f>
        <v>16032</v>
      </c>
      <c r="K23" s="16" t="n">
        <f aca="false">(H23-I23)*G23</f>
        <v>731.999999999999</v>
      </c>
      <c r="L23" s="17" t="n">
        <f aca="false">IF(I23=0,0,H23/I23-1)</f>
        <v>0.047843137254902</v>
      </c>
      <c r="M23" s="14" t="n">
        <v>1</v>
      </c>
      <c r="N23" s="18" t="n">
        <v>0.021</v>
      </c>
    </row>
    <row r="24" customFormat="false" ht="15" hidden="false" customHeight="false" outlineLevel="0" collapsed="false">
      <c r="A24" s="12" t="s">
        <v>74</v>
      </c>
      <c r="B24" s="13" t="n">
        <v>45663</v>
      </c>
      <c r="C24" s="12" t="str">
        <f aca="false">TEXT(B24,"yyyy-mm")</f>
        <v>2025-01</v>
      </c>
      <c r="D24" s="12" t="s">
        <v>75</v>
      </c>
      <c r="E24" s="12" t="s">
        <v>76</v>
      </c>
      <c r="F24" s="12" t="s">
        <v>77</v>
      </c>
      <c r="G24" s="14" t="n">
        <v>1600</v>
      </c>
      <c r="H24" s="15" t="n">
        <v>20.22</v>
      </c>
      <c r="I24" s="15" t="n">
        <v>19.8</v>
      </c>
      <c r="J24" s="16" t="n">
        <f aca="false">G24*H24</f>
        <v>32352</v>
      </c>
      <c r="K24" s="16" t="n">
        <f aca="false">(H24-I24)*G24</f>
        <v>671.999999999997</v>
      </c>
      <c r="L24" s="17" t="n">
        <f aca="false">IF(I24=0,0,H24/I24-1)</f>
        <v>0.021212121212121</v>
      </c>
      <c r="M24" s="14" t="n">
        <v>1</v>
      </c>
      <c r="N24" s="18" t="n">
        <v>0.01</v>
      </c>
    </row>
    <row r="25" customFormat="false" ht="15" hidden="false" customHeight="false" outlineLevel="0" collapsed="false">
      <c r="A25" s="12" t="s">
        <v>78</v>
      </c>
      <c r="B25" s="13" t="n">
        <v>45663</v>
      </c>
      <c r="C25" s="12" t="str">
        <f aca="false">TEXT(B25,"yyyy-mm")</f>
        <v>2025-01</v>
      </c>
      <c r="D25" s="12" t="s">
        <v>75</v>
      </c>
      <c r="E25" s="12" t="s">
        <v>76</v>
      </c>
      <c r="F25" s="12" t="s">
        <v>77</v>
      </c>
      <c r="G25" s="14" t="n">
        <v>1600</v>
      </c>
      <c r="H25" s="15" t="n">
        <v>20.81</v>
      </c>
      <c r="I25" s="15" t="n">
        <v>20.1</v>
      </c>
      <c r="J25" s="16" t="n">
        <f aca="false">G25*H25</f>
        <v>33296</v>
      </c>
      <c r="K25" s="16" t="n">
        <f aca="false">(H25-I25)*G25</f>
        <v>1136</v>
      </c>
      <c r="L25" s="17" t="n">
        <f aca="false">IF(I25=0,0,H25/I25-1)</f>
        <v>0.0353233830845769</v>
      </c>
      <c r="M25" s="14" t="n">
        <v>1</v>
      </c>
      <c r="N25" s="18" t="n">
        <v>0.025</v>
      </c>
    </row>
    <row r="26" customFormat="false" ht="15" hidden="false" customHeight="false" outlineLevel="0" collapsed="false">
      <c r="A26" s="12" t="s">
        <v>79</v>
      </c>
      <c r="B26" s="13" t="n">
        <v>45663</v>
      </c>
      <c r="C26" s="12" t="str">
        <f aca="false">TEXT(B26,"yyyy-mm")</f>
        <v>2025-01</v>
      </c>
      <c r="D26" s="12" t="s">
        <v>80</v>
      </c>
      <c r="E26" s="12" t="s">
        <v>81</v>
      </c>
      <c r="F26" s="12" t="s">
        <v>82</v>
      </c>
      <c r="G26" s="14" t="n">
        <v>200</v>
      </c>
      <c r="H26" s="15" t="n">
        <v>19.28</v>
      </c>
      <c r="I26" s="15" t="n">
        <v>20.12</v>
      </c>
      <c r="J26" s="16" t="n">
        <f aca="false">G26*H26</f>
        <v>3856</v>
      </c>
      <c r="K26" s="16" t="n">
        <f aca="false">(H26-I26)*G26</f>
        <v>-168</v>
      </c>
      <c r="L26" s="17" t="n">
        <f aca="false">IF(I26=0,0,H26/I26-1)</f>
        <v>-0.0417495029821073</v>
      </c>
      <c r="M26" s="14" t="n">
        <v>1</v>
      </c>
      <c r="N26" s="18" t="n">
        <v>0.02</v>
      </c>
    </row>
    <row r="27" customFormat="false" ht="15" hidden="false" customHeight="false" outlineLevel="0" collapsed="false">
      <c r="A27" s="12" t="s">
        <v>83</v>
      </c>
      <c r="B27" s="13" t="n">
        <v>45664</v>
      </c>
      <c r="C27" s="12" t="str">
        <f aca="false">TEXT(B27,"yyyy-mm")</f>
        <v>2025-01</v>
      </c>
      <c r="D27" s="12" t="s">
        <v>75</v>
      </c>
      <c r="E27" s="12" t="s">
        <v>76</v>
      </c>
      <c r="F27" s="12" t="s">
        <v>77</v>
      </c>
      <c r="G27" s="14" t="n">
        <v>400</v>
      </c>
      <c r="H27" s="15" t="n">
        <v>20.38</v>
      </c>
      <c r="I27" s="15" t="n">
        <v>20.3</v>
      </c>
      <c r="J27" s="16" t="n">
        <f aca="false">G27*H27</f>
        <v>8152</v>
      </c>
      <c r="K27" s="16" t="n">
        <f aca="false">(H27-I27)*G27</f>
        <v>31.9999999999993</v>
      </c>
      <c r="L27" s="17" t="n">
        <f aca="false">IF(I27=0,0,H27/I27-1)</f>
        <v>0.00394088669950721</v>
      </c>
      <c r="M27" s="14" t="n">
        <v>1</v>
      </c>
      <c r="N27" s="18" t="n">
        <v>0.019</v>
      </c>
    </row>
    <row r="28" customFormat="false" ht="15" hidden="false" customHeight="false" outlineLevel="0" collapsed="false">
      <c r="A28" s="12" t="s">
        <v>84</v>
      </c>
      <c r="B28" s="13" t="n">
        <v>45664</v>
      </c>
      <c r="C28" s="12" t="str">
        <f aca="false">TEXT(B28,"yyyy-mm")</f>
        <v>2025-01</v>
      </c>
      <c r="D28" s="12" t="s">
        <v>35</v>
      </c>
      <c r="E28" s="12" t="s">
        <v>43</v>
      </c>
      <c r="F28" s="12" t="s">
        <v>44</v>
      </c>
      <c r="G28" s="14" t="n">
        <v>1600</v>
      </c>
      <c r="H28" s="15" t="n">
        <v>16.19</v>
      </c>
      <c r="I28" s="15" t="n">
        <v>15.74</v>
      </c>
      <c r="J28" s="16" t="n">
        <f aca="false">G28*H28</f>
        <v>25904</v>
      </c>
      <c r="K28" s="16" t="n">
        <f aca="false">(H28-I28)*G28</f>
        <v>720.000000000002</v>
      </c>
      <c r="L28" s="17" t="n">
        <f aca="false">IF(I28=0,0,H28/I28-1)</f>
        <v>0.02858958068615</v>
      </c>
      <c r="M28" s="14" t="n">
        <v>1</v>
      </c>
      <c r="N28" s="18" t="n">
        <v>0.01</v>
      </c>
    </row>
    <row r="29" customFormat="false" ht="15" hidden="false" customHeight="false" outlineLevel="0" collapsed="false">
      <c r="A29" s="12" t="s">
        <v>85</v>
      </c>
      <c r="B29" s="13" t="n">
        <v>45664</v>
      </c>
      <c r="C29" s="12" t="str">
        <f aca="false">TEXT(B29,"yyyy-mm")</f>
        <v>2025-01</v>
      </c>
      <c r="D29" s="12" t="s">
        <v>61</v>
      </c>
      <c r="E29" s="12" t="s">
        <v>36</v>
      </c>
      <c r="F29" s="12" t="s">
        <v>37</v>
      </c>
      <c r="G29" s="14" t="n">
        <v>2000</v>
      </c>
      <c r="H29" s="15" t="n">
        <v>13.35</v>
      </c>
      <c r="I29" s="15" t="n">
        <v>13.68</v>
      </c>
      <c r="J29" s="16" t="n">
        <f aca="false">G29*H29</f>
        <v>26700</v>
      </c>
      <c r="K29" s="16" t="n">
        <f aca="false">(H29-I29)*G29</f>
        <v>-660</v>
      </c>
      <c r="L29" s="17" t="n">
        <f aca="false">IF(I29=0,0,H29/I29-1)</f>
        <v>-0.0241228070175439</v>
      </c>
      <c r="M29" s="14" t="n">
        <v>1</v>
      </c>
      <c r="N29" s="18" t="n">
        <v>0.016</v>
      </c>
    </row>
    <row r="30" customFormat="false" ht="15" hidden="false" customHeight="false" outlineLevel="0" collapsed="false">
      <c r="A30" s="12" t="s">
        <v>86</v>
      </c>
      <c r="B30" s="13" t="n">
        <v>45664</v>
      </c>
      <c r="C30" s="12" t="str">
        <f aca="false">TEXT(B30,"yyyy-mm")</f>
        <v>2025-01</v>
      </c>
      <c r="D30" s="12" t="s">
        <v>61</v>
      </c>
      <c r="E30" s="12" t="s">
        <v>36</v>
      </c>
      <c r="F30" s="12" t="s">
        <v>37</v>
      </c>
      <c r="G30" s="14" t="n">
        <v>1600</v>
      </c>
      <c r="H30" s="15" t="n">
        <v>13.03</v>
      </c>
      <c r="I30" s="15" t="n">
        <v>12.92</v>
      </c>
      <c r="J30" s="16" t="n">
        <f aca="false">G30*H30</f>
        <v>20848</v>
      </c>
      <c r="K30" s="16" t="n">
        <f aca="false">(H30-I30)*G30</f>
        <v>175.999999999999</v>
      </c>
      <c r="L30" s="17" t="n">
        <f aca="false">IF(I30=0,0,H30/I30-1)</f>
        <v>0.00851393188854477</v>
      </c>
      <c r="M30" s="14" t="n">
        <v>1</v>
      </c>
      <c r="N30" s="18" t="n">
        <v>0.021</v>
      </c>
    </row>
    <row r="31" customFormat="false" ht="15" hidden="false" customHeight="false" outlineLevel="0" collapsed="false">
      <c r="A31" s="12" t="s">
        <v>87</v>
      </c>
      <c r="B31" s="13" t="n">
        <v>45666</v>
      </c>
      <c r="C31" s="12" t="str">
        <f aca="false">TEXT(B31,"yyyy-mm")</f>
        <v>2025-01</v>
      </c>
      <c r="D31" s="12" t="s">
        <v>53</v>
      </c>
      <c r="E31" s="12" t="s">
        <v>54</v>
      </c>
      <c r="F31" s="12" t="s">
        <v>55</v>
      </c>
      <c r="G31" s="14" t="n">
        <v>1200</v>
      </c>
      <c r="H31" s="15" t="n">
        <v>13.21</v>
      </c>
      <c r="I31" s="15" t="n">
        <v>12.99</v>
      </c>
      <c r="J31" s="16" t="n">
        <f aca="false">G31*H31</f>
        <v>15852</v>
      </c>
      <c r="K31" s="16" t="n">
        <f aca="false">(H31-I31)*G31</f>
        <v>264.000000000001</v>
      </c>
      <c r="L31" s="17" t="n">
        <f aca="false">IF(I31=0,0,H31/I31-1)</f>
        <v>0.01693610469592</v>
      </c>
      <c r="M31" s="14" t="n">
        <v>1</v>
      </c>
      <c r="N31" s="18" t="n">
        <v>0.015</v>
      </c>
    </row>
    <row r="32" customFormat="false" ht="15" hidden="false" customHeight="false" outlineLevel="0" collapsed="false">
      <c r="A32" s="12" t="s">
        <v>88</v>
      </c>
      <c r="B32" s="13" t="n">
        <v>45667</v>
      </c>
      <c r="C32" s="12" t="str">
        <f aca="false">TEXT(B32,"yyyy-mm")</f>
        <v>2025-01</v>
      </c>
      <c r="D32" s="12" t="s">
        <v>53</v>
      </c>
      <c r="E32" s="12" t="s">
        <v>54</v>
      </c>
      <c r="F32" s="12" t="s">
        <v>55</v>
      </c>
      <c r="G32" s="14" t="n">
        <v>200</v>
      </c>
      <c r="H32" s="15" t="n">
        <v>13.26</v>
      </c>
      <c r="I32" s="15" t="n">
        <v>12.97</v>
      </c>
      <c r="J32" s="16" t="n">
        <f aca="false">G32*H32</f>
        <v>2652</v>
      </c>
      <c r="K32" s="16" t="n">
        <f aca="false">(H32-I32)*G32</f>
        <v>57.9999999999998</v>
      </c>
      <c r="L32" s="17" t="n">
        <f aca="false">IF(I32=0,0,H32/I32-1)</f>
        <v>0.0223592906707786</v>
      </c>
      <c r="M32" s="14" t="n">
        <v>1</v>
      </c>
      <c r="N32" s="18" t="n">
        <v>0.004</v>
      </c>
    </row>
    <row r="33" customFormat="false" ht="15" hidden="false" customHeight="false" outlineLevel="0" collapsed="false">
      <c r="A33" s="12" t="s">
        <v>89</v>
      </c>
      <c r="B33" s="13" t="n">
        <v>45667</v>
      </c>
      <c r="C33" s="12" t="str">
        <f aca="false">TEXT(B33,"yyyy-mm")</f>
        <v>2025-01</v>
      </c>
      <c r="D33" s="12" t="s">
        <v>35</v>
      </c>
      <c r="E33" s="12" t="s">
        <v>36</v>
      </c>
      <c r="F33" s="12" t="s">
        <v>37</v>
      </c>
      <c r="G33" s="14" t="n">
        <v>1600</v>
      </c>
      <c r="H33" s="15" t="n">
        <v>15.12</v>
      </c>
      <c r="I33" s="15" t="n">
        <v>14.99</v>
      </c>
      <c r="J33" s="16" t="n">
        <f aca="false">G33*H33</f>
        <v>24192</v>
      </c>
      <c r="K33" s="16" t="n">
        <f aca="false">(H33-I33)*G33</f>
        <v>207.999999999998</v>
      </c>
      <c r="L33" s="17" t="n">
        <f aca="false">IF(I33=0,0,H33/I33-1)</f>
        <v>0.00867244829886582</v>
      </c>
      <c r="M33" s="14" t="n">
        <v>1</v>
      </c>
      <c r="N33" s="18" t="n">
        <v>0.025</v>
      </c>
    </row>
    <row r="34" customFormat="false" ht="15" hidden="false" customHeight="false" outlineLevel="0" collapsed="false">
      <c r="A34" s="12" t="s">
        <v>90</v>
      </c>
      <c r="B34" s="13" t="n">
        <v>45668</v>
      </c>
      <c r="C34" s="12" t="str">
        <f aca="false">TEXT(B34,"yyyy-mm")</f>
        <v>2025-01</v>
      </c>
      <c r="D34" s="12" t="s">
        <v>53</v>
      </c>
      <c r="E34" s="12" t="s">
        <v>54</v>
      </c>
      <c r="F34" s="12" t="s">
        <v>55</v>
      </c>
      <c r="G34" s="14" t="n">
        <v>400</v>
      </c>
      <c r="H34" s="15" t="n">
        <v>13.77</v>
      </c>
      <c r="I34" s="15" t="n">
        <v>13.36</v>
      </c>
      <c r="J34" s="16" t="n">
        <f aca="false">G34*H34</f>
        <v>5508</v>
      </c>
      <c r="K34" s="16" t="n">
        <f aca="false">(H34-I34)*G34</f>
        <v>164</v>
      </c>
      <c r="L34" s="17" t="n">
        <f aca="false">IF(I34=0,0,H34/I34-1)</f>
        <v>0.0306886227544911</v>
      </c>
      <c r="M34" s="14" t="n">
        <v>1</v>
      </c>
      <c r="N34" s="18" t="n">
        <v>0.015</v>
      </c>
    </row>
    <row r="35" customFormat="false" ht="15" hidden="false" customHeight="false" outlineLevel="0" collapsed="false">
      <c r="A35" s="12" t="s">
        <v>91</v>
      </c>
      <c r="B35" s="13" t="n">
        <v>45669</v>
      </c>
      <c r="C35" s="12" t="str">
        <f aca="false">TEXT(B35,"yyyy-mm")</f>
        <v>2025-01</v>
      </c>
      <c r="D35" s="12" t="s">
        <v>80</v>
      </c>
      <c r="E35" s="12" t="s">
        <v>92</v>
      </c>
      <c r="F35" s="12" t="s">
        <v>93</v>
      </c>
      <c r="G35" s="14" t="n">
        <v>200</v>
      </c>
      <c r="H35" s="15" t="n">
        <v>19.35</v>
      </c>
      <c r="I35" s="15" t="n">
        <v>20.18</v>
      </c>
      <c r="J35" s="16" t="n">
        <f aca="false">G35*H35</f>
        <v>3870</v>
      </c>
      <c r="K35" s="16" t="n">
        <f aca="false">(H35-I35)*G35</f>
        <v>-166</v>
      </c>
      <c r="L35" s="17" t="n">
        <f aca="false">IF(I35=0,0,H35/I35-1)</f>
        <v>-0.0411298315163527</v>
      </c>
      <c r="M35" s="14" t="n">
        <v>1</v>
      </c>
      <c r="N35" s="18" t="n">
        <v>0.033</v>
      </c>
    </row>
    <row r="36" customFormat="false" ht="15" hidden="false" customHeight="false" outlineLevel="0" collapsed="false">
      <c r="A36" s="12" t="s">
        <v>94</v>
      </c>
      <c r="B36" s="13" t="n">
        <v>45669</v>
      </c>
      <c r="C36" s="12" t="str">
        <f aca="false">TEXT(B36,"yyyy-mm")</f>
        <v>2025-01</v>
      </c>
      <c r="D36" s="12" t="s">
        <v>61</v>
      </c>
      <c r="E36" s="12" t="s">
        <v>43</v>
      </c>
      <c r="F36" s="12" t="s">
        <v>44</v>
      </c>
      <c r="G36" s="14" t="n">
        <v>600</v>
      </c>
      <c r="H36" s="15" t="n">
        <v>13.16</v>
      </c>
      <c r="I36" s="15" t="n">
        <v>12.98</v>
      </c>
      <c r="J36" s="16" t="n">
        <f aca="false">G36*H36</f>
        <v>7896</v>
      </c>
      <c r="K36" s="16" t="n">
        <f aca="false">(H36-I36)*G36</f>
        <v>108</v>
      </c>
      <c r="L36" s="17" t="n">
        <f aca="false">IF(I36=0,0,H36/I36-1)</f>
        <v>0.0138674884437595</v>
      </c>
      <c r="M36" s="14" t="n">
        <v>1</v>
      </c>
      <c r="N36" s="18" t="n">
        <v>0.007</v>
      </c>
    </row>
    <row r="37" customFormat="false" ht="15" hidden="false" customHeight="false" outlineLevel="0" collapsed="false">
      <c r="A37" s="12" t="s">
        <v>95</v>
      </c>
      <c r="B37" s="13" t="n">
        <v>45669</v>
      </c>
      <c r="C37" s="12" t="str">
        <f aca="false">TEXT(B37,"yyyy-mm")</f>
        <v>2025-01</v>
      </c>
      <c r="D37" s="12" t="s">
        <v>39</v>
      </c>
      <c r="E37" s="12" t="s">
        <v>49</v>
      </c>
      <c r="F37" s="12" t="s">
        <v>50</v>
      </c>
      <c r="G37" s="14" t="n">
        <v>1600</v>
      </c>
      <c r="H37" s="15" t="n">
        <v>17.26</v>
      </c>
      <c r="I37" s="15" t="n">
        <v>16.94</v>
      </c>
      <c r="J37" s="16" t="n">
        <f aca="false">G37*H37</f>
        <v>27616</v>
      </c>
      <c r="K37" s="16" t="n">
        <f aca="false">(H37-I37)*G37</f>
        <v>512.000000000001</v>
      </c>
      <c r="L37" s="17" t="n">
        <f aca="false">IF(I37=0,0,H37/I37-1)</f>
        <v>0.0188902007083824</v>
      </c>
      <c r="M37" s="14" t="n">
        <v>1</v>
      </c>
      <c r="N37" s="18" t="n">
        <v>0.012</v>
      </c>
    </row>
    <row r="38" customFormat="false" ht="15" hidden="false" customHeight="false" outlineLevel="0" collapsed="false">
      <c r="A38" s="12" t="s">
        <v>96</v>
      </c>
      <c r="B38" s="13" t="n">
        <v>45670</v>
      </c>
      <c r="C38" s="12" t="str">
        <f aca="false">TEXT(B38,"yyyy-mm")</f>
        <v>2025-01</v>
      </c>
      <c r="D38" s="12" t="s">
        <v>39</v>
      </c>
      <c r="E38" s="12" t="s">
        <v>40</v>
      </c>
      <c r="F38" s="12" t="s">
        <v>41</v>
      </c>
      <c r="G38" s="14" t="n">
        <v>2000</v>
      </c>
      <c r="H38" s="15" t="n">
        <v>16.35</v>
      </c>
      <c r="I38" s="15" t="n">
        <v>16.67</v>
      </c>
      <c r="J38" s="16" t="n">
        <f aca="false">G38*H38</f>
        <v>32700</v>
      </c>
      <c r="K38" s="16" t="n">
        <f aca="false">(H38-I38)*G38</f>
        <v>-640.000000000001</v>
      </c>
      <c r="L38" s="17" t="n">
        <f aca="false">IF(I38=0,0,H38/I38-1)</f>
        <v>-0.0191961607678465</v>
      </c>
      <c r="M38" s="14" t="n">
        <v>1</v>
      </c>
      <c r="N38" s="18" t="n">
        <v>0.022</v>
      </c>
    </row>
    <row r="39" customFormat="false" ht="15" hidden="false" customHeight="false" outlineLevel="0" collapsed="false">
      <c r="A39" s="12" t="s">
        <v>97</v>
      </c>
      <c r="B39" s="13" t="n">
        <v>45671</v>
      </c>
      <c r="C39" s="12" t="str">
        <f aca="false">TEXT(B39,"yyyy-mm")</f>
        <v>2025-01</v>
      </c>
      <c r="D39" s="12" t="s">
        <v>39</v>
      </c>
      <c r="E39" s="12" t="s">
        <v>46</v>
      </c>
      <c r="F39" s="12" t="s">
        <v>47</v>
      </c>
      <c r="G39" s="14" t="n">
        <v>400</v>
      </c>
      <c r="H39" s="15" t="n">
        <v>18.4</v>
      </c>
      <c r="I39" s="15" t="n">
        <v>16.85</v>
      </c>
      <c r="J39" s="16" t="n">
        <f aca="false">G39*H39</f>
        <v>7360</v>
      </c>
      <c r="K39" s="16" t="n">
        <f aca="false">(H39-I39)*G39</f>
        <v>619.999999999999</v>
      </c>
      <c r="L39" s="17" t="n">
        <f aca="false">IF(I39=0,0,H39/I39-1)</f>
        <v>0.091988130563798</v>
      </c>
      <c r="M39" s="14" t="n">
        <v>1</v>
      </c>
      <c r="N39" s="18" t="n">
        <v>0.009</v>
      </c>
    </row>
    <row r="40" customFormat="false" ht="15" hidden="false" customHeight="false" outlineLevel="0" collapsed="false">
      <c r="A40" s="12" t="s">
        <v>98</v>
      </c>
      <c r="B40" s="13" t="n">
        <v>45672</v>
      </c>
      <c r="C40" s="12" t="str">
        <f aca="false">TEXT(B40,"yyyy-mm")</f>
        <v>2025-01</v>
      </c>
      <c r="D40" s="12" t="s">
        <v>35</v>
      </c>
      <c r="E40" s="12" t="s">
        <v>43</v>
      </c>
      <c r="F40" s="12" t="s">
        <v>44</v>
      </c>
      <c r="G40" s="14" t="n">
        <v>1200</v>
      </c>
      <c r="H40" s="15" t="n">
        <v>16.01</v>
      </c>
      <c r="I40" s="15" t="n">
        <v>15.04</v>
      </c>
      <c r="J40" s="16" t="n">
        <f aca="false">G40*H40</f>
        <v>19212</v>
      </c>
      <c r="K40" s="16" t="n">
        <f aca="false">(H40-I40)*G40</f>
        <v>1164</v>
      </c>
      <c r="L40" s="17" t="n">
        <f aca="false">IF(I40=0,0,H40/I40-1)</f>
        <v>0.064494680851064</v>
      </c>
      <c r="M40" s="14" t="n">
        <v>1</v>
      </c>
      <c r="N40" s="18" t="n">
        <v>0.011</v>
      </c>
    </row>
    <row r="41" customFormat="false" ht="15" hidden="false" customHeight="false" outlineLevel="0" collapsed="false">
      <c r="A41" s="12" t="s">
        <v>99</v>
      </c>
      <c r="B41" s="13" t="n">
        <v>45672</v>
      </c>
      <c r="C41" s="12" t="str">
        <f aca="false">TEXT(B41,"yyyy-mm")</f>
        <v>2025-01</v>
      </c>
      <c r="D41" s="12" t="s">
        <v>80</v>
      </c>
      <c r="E41" s="12" t="s">
        <v>81</v>
      </c>
      <c r="F41" s="12" t="s">
        <v>82</v>
      </c>
      <c r="G41" s="14" t="n">
        <v>800</v>
      </c>
      <c r="H41" s="15" t="n">
        <v>18.72</v>
      </c>
      <c r="I41" s="15" t="n">
        <v>19.48</v>
      </c>
      <c r="J41" s="16" t="n">
        <f aca="false">G41*H41</f>
        <v>14976</v>
      </c>
      <c r="K41" s="16" t="n">
        <f aca="false">(H41-I41)*G41</f>
        <v>-608.000000000001</v>
      </c>
      <c r="L41" s="17" t="n">
        <f aca="false">IF(I41=0,0,H41/I41-1)</f>
        <v>-0.0390143737166325</v>
      </c>
      <c r="M41" s="14" t="n">
        <v>1</v>
      </c>
      <c r="N41" s="18" t="n">
        <v>0.039</v>
      </c>
    </row>
    <row r="42" customFormat="false" ht="15" hidden="false" customHeight="false" outlineLevel="0" collapsed="false">
      <c r="A42" s="12" t="s">
        <v>100</v>
      </c>
      <c r="B42" s="13" t="n">
        <v>45672</v>
      </c>
      <c r="C42" s="12" t="str">
        <f aca="false">TEXT(B42,"yyyy-mm")</f>
        <v>2025-01</v>
      </c>
      <c r="D42" s="12" t="s">
        <v>39</v>
      </c>
      <c r="E42" s="12" t="s">
        <v>49</v>
      </c>
      <c r="F42" s="12" t="s">
        <v>50</v>
      </c>
      <c r="G42" s="14" t="n">
        <v>2000</v>
      </c>
      <c r="H42" s="15" t="n">
        <v>16.97</v>
      </c>
      <c r="I42" s="15" t="n">
        <v>16.75</v>
      </c>
      <c r="J42" s="16" t="n">
        <f aca="false">G42*H42</f>
        <v>33940</v>
      </c>
      <c r="K42" s="16" t="n">
        <f aca="false">(H42-I42)*G42</f>
        <v>439.999999999998</v>
      </c>
      <c r="L42" s="17" t="n">
        <f aca="false">IF(I42=0,0,H42/I42-1)</f>
        <v>0.0131343283582088</v>
      </c>
      <c r="M42" s="14" t="n">
        <v>1</v>
      </c>
      <c r="N42" s="18" t="n">
        <v>0.026</v>
      </c>
    </row>
    <row r="43" customFormat="false" ht="15" hidden="false" customHeight="false" outlineLevel="0" collapsed="false">
      <c r="A43" s="12" t="s">
        <v>101</v>
      </c>
      <c r="B43" s="13" t="n">
        <v>45672</v>
      </c>
      <c r="C43" s="12" t="str">
        <f aca="false">TEXT(B43,"yyyy-mm")</f>
        <v>2025-01</v>
      </c>
      <c r="D43" s="12" t="s">
        <v>58</v>
      </c>
      <c r="E43" s="12" t="s">
        <v>40</v>
      </c>
      <c r="F43" s="12" t="s">
        <v>41</v>
      </c>
      <c r="G43" s="14" t="n">
        <v>200</v>
      </c>
      <c r="H43" s="15" t="n">
        <v>22.68</v>
      </c>
      <c r="I43" s="15" t="n">
        <v>22.92</v>
      </c>
      <c r="J43" s="16" t="n">
        <f aca="false">G43*H43</f>
        <v>4536</v>
      </c>
      <c r="K43" s="16" t="n">
        <f aca="false">(H43-I43)*G43</f>
        <v>-48.0000000000004</v>
      </c>
      <c r="L43" s="17" t="n">
        <f aca="false">IF(I43=0,0,H43/I43-1)</f>
        <v>-0.0104712041884818</v>
      </c>
      <c r="M43" s="14" t="n">
        <v>1</v>
      </c>
      <c r="N43" s="18" t="n">
        <v>0.012</v>
      </c>
    </row>
    <row r="44" customFormat="false" ht="15" hidden="false" customHeight="false" outlineLevel="0" collapsed="false">
      <c r="A44" s="12" t="s">
        <v>102</v>
      </c>
      <c r="B44" s="13" t="n">
        <v>45672</v>
      </c>
      <c r="C44" s="12" t="str">
        <f aca="false">TEXT(B44,"yyyy-mm")</f>
        <v>2025-01</v>
      </c>
      <c r="D44" s="12" t="s">
        <v>35</v>
      </c>
      <c r="E44" s="12" t="s">
        <v>43</v>
      </c>
      <c r="F44" s="12" t="s">
        <v>44</v>
      </c>
      <c r="G44" s="14" t="n">
        <v>4000</v>
      </c>
      <c r="H44" s="15" t="n">
        <v>15.16</v>
      </c>
      <c r="I44" s="15" t="n">
        <v>14.99</v>
      </c>
      <c r="J44" s="16" t="n">
        <f aca="false">G44*H44</f>
        <v>60640</v>
      </c>
      <c r="K44" s="16" t="n">
        <f aca="false">(H44-I44)*G44</f>
        <v>680</v>
      </c>
      <c r="L44" s="17" t="n">
        <f aca="false">IF(I44=0,0,H44/I44-1)</f>
        <v>0.0113408939292863</v>
      </c>
      <c r="M44" s="14" t="n">
        <v>1</v>
      </c>
      <c r="N44" s="18" t="n">
        <v>0.01</v>
      </c>
    </row>
    <row r="45" customFormat="false" ht="15" hidden="false" customHeight="false" outlineLevel="0" collapsed="false">
      <c r="A45" s="12" t="s">
        <v>103</v>
      </c>
      <c r="B45" s="13" t="n">
        <v>45672</v>
      </c>
      <c r="C45" s="12" t="str">
        <f aca="false">TEXT(B45,"yyyy-mm")</f>
        <v>2025-01</v>
      </c>
      <c r="D45" s="12" t="s">
        <v>61</v>
      </c>
      <c r="E45" s="12" t="s">
        <v>36</v>
      </c>
      <c r="F45" s="12" t="s">
        <v>37</v>
      </c>
      <c r="G45" s="14" t="n">
        <v>1000</v>
      </c>
      <c r="H45" s="15" t="n">
        <v>13.25</v>
      </c>
      <c r="I45" s="15" t="n">
        <v>12.99</v>
      </c>
      <c r="J45" s="16" t="n">
        <f aca="false">G45*H45</f>
        <v>13250</v>
      </c>
      <c r="K45" s="16" t="n">
        <f aca="false">(H45-I45)*G45</f>
        <v>260</v>
      </c>
      <c r="L45" s="17" t="n">
        <f aca="false">IF(I45=0,0,H45/I45-1)</f>
        <v>0.0200153964588146</v>
      </c>
      <c r="M45" s="14" t="n">
        <v>1</v>
      </c>
      <c r="N45" s="18" t="n">
        <v>0.019</v>
      </c>
    </row>
    <row r="46" customFormat="false" ht="15" hidden="false" customHeight="false" outlineLevel="0" collapsed="false">
      <c r="A46" s="12" t="s">
        <v>104</v>
      </c>
      <c r="B46" s="13" t="n">
        <v>45672</v>
      </c>
      <c r="C46" s="12" t="str">
        <f aca="false">TEXT(B46,"yyyy-mm")</f>
        <v>2025-01</v>
      </c>
      <c r="D46" s="12" t="s">
        <v>39</v>
      </c>
      <c r="E46" s="12" t="s">
        <v>46</v>
      </c>
      <c r="F46" s="12" t="s">
        <v>47</v>
      </c>
      <c r="G46" s="14" t="n">
        <v>600</v>
      </c>
      <c r="H46" s="15" t="n">
        <v>16.37</v>
      </c>
      <c r="I46" s="15" t="n">
        <v>16.07</v>
      </c>
      <c r="J46" s="16" t="n">
        <f aca="false">G46*H46</f>
        <v>9822</v>
      </c>
      <c r="K46" s="16" t="n">
        <f aca="false">(H46-I46)*G46</f>
        <v>180</v>
      </c>
      <c r="L46" s="17" t="n">
        <f aca="false">IF(I46=0,0,H46/I46-1)</f>
        <v>0.0186683260734288</v>
      </c>
      <c r="M46" s="14" t="n">
        <v>1</v>
      </c>
      <c r="N46" s="18" t="n">
        <v>0.005</v>
      </c>
    </row>
    <row r="47" customFormat="false" ht="15" hidden="false" customHeight="false" outlineLevel="0" collapsed="false">
      <c r="A47" s="12" t="s">
        <v>105</v>
      </c>
      <c r="B47" s="13" t="n">
        <v>45673</v>
      </c>
      <c r="C47" s="12" t="str">
        <f aca="false">TEXT(B47,"yyyy-mm")</f>
        <v>2025-01</v>
      </c>
      <c r="D47" s="12" t="s">
        <v>53</v>
      </c>
      <c r="E47" s="12" t="s">
        <v>54</v>
      </c>
      <c r="F47" s="12" t="s">
        <v>55</v>
      </c>
      <c r="G47" s="14" t="n">
        <v>1600</v>
      </c>
      <c r="H47" s="15" t="n">
        <v>13.29</v>
      </c>
      <c r="I47" s="15" t="n">
        <v>13.2</v>
      </c>
      <c r="J47" s="16" t="n">
        <f aca="false">G47*H47</f>
        <v>21264</v>
      </c>
      <c r="K47" s="16" t="n">
        <f aca="false">(H47-I47)*G47</f>
        <v>144</v>
      </c>
      <c r="L47" s="17" t="n">
        <f aca="false">IF(I47=0,0,H47/I47-1)</f>
        <v>0.00681818181818183</v>
      </c>
      <c r="M47" s="14" t="n">
        <v>1</v>
      </c>
      <c r="N47" s="18" t="n">
        <v>0.009</v>
      </c>
    </row>
    <row r="48" customFormat="false" ht="15" hidden="false" customHeight="false" outlineLevel="0" collapsed="false">
      <c r="A48" s="12" t="s">
        <v>106</v>
      </c>
      <c r="B48" s="13" t="n">
        <v>45673</v>
      </c>
      <c r="C48" s="12" t="str">
        <f aca="false">TEXT(B48,"yyyy-mm")</f>
        <v>2025-01</v>
      </c>
      <c r="D48" s="12" t="s">
        <v>75</v>
      </c>
      <c r="E48" s="12" t="s">
        <v>40</v>
      </c>
      <c r="F48" s="12" t="s">
        <v>41</v>
      </c>
      <c r="G48" s="14" t="n">
        <v>1200</v>
      </c>
      <c r="H48" s="15" t="n">
        <v>20.89</v>
      </c>
      <c r="I48" s="15" t="n">
        <v>20.16</v>
      </c>
      <c r="J48" s="16" t="n">
        <f aca="false">G48*H48</f>
        <v>25068</v>
      </c>
      <c r="K48" s="16" t="n">
        <f aca="false">(H48-I48)*G48</f>
        <v>876.000000000001</v>
      </c>
      <c r="L48" s="17" t="n">
        <f aca="false">IF(I48=0,0,H48/I48-1)</f>
        <v>0.0362103174603174</v>
      </c>
      <c r="M48" s="14" t="n">
        <v>1</v>
      </c>
      <c r="N48" s="18" t="n">
        <v>0.03</v>
      </c>
    </row>
    <row r="49" customFormat="false" ht="15" hidden="false" customHeight="false" outlineLevel="0" collapsed="false">
      <c r="A49" s="12" t="s">
        <v>107</v>
      </c>
      <c r="B49" s="13" t="n">
        <v>45673</v>
      </c>
      <c r="C49" s="12" t="str">
        <f aca="false">TEXT(B49,"yyyy-mm")</f>
        <v>2025-01</v>
      </c>
      <c r="D49" s="12" t="s">
        <v>53</v>
      </c>
      <c r="E49" s="12" t="s">
        <v>54</v>
      </c>
      <c r="F49" s="12" t="s">
        <v>55</v>
      </c>
      <c r="G49" s="14" t="n">
        <v>400</v>
      </c>
      <c r="H49" s="15" t="n">
        <v>13.6</v>
      </c>
      <c r="I49" s="15" t="n">
        <v>13.01</v>
      </c>
      <c r="J49" s="16" t="n">
        <f aca="false">G49*H49</f>
        <v>5440</v>
      </c>
      <c r="K49" s="16" t="n">
        <f aca="false">(H49-I49)*G49</f>
        <v>236</v>
      </c>
      <c r="L49" s="17" t="n">
        <f aca="false">IF(I49=0,0,H49/I49-1)</f>
        <v>0.0453497309761721</v>
      </c>
      <c r="M49" s="14" t="n">
        <v>1</v>
      </c>
      <c r="N49" s="18" t="n">
        <v>0.018</v>
      </c>
    </row>
    <row r="50" customFormat="false" ht="15" hidden="false" customHeight="false" outlineLevel="0" collapsed="false">
      <c r="A50" s="12" t="s">
        <v>108</v>
      </c>
      <c r="B50" s="13" t="n">
        <v>45673</v>
      </c>
      <c r="C50" s="12" t="str">
        <f aca="false">TEXT(B50,"yyyy-mm")</f>
        <v>2025-01</v>
      </c>
      <c r="D50" s="12" t="s">
        <v>58</v>
      </c>
      <c r="E50" s="12" t="s">
        <v>59</v>
      </c>
      <c r="F50" s="12" t="s">
        <v>55</v>
      </c>
      <c r="G50" s="14" t="n">
        <v>1000</v>
      </c>
      <c r="H50" s="15" t="n">
        <v>25.14</v>
      </c>
      <c r="I50" s="15" t="n">
        <v>24.16</v>
      </c>
      <c r="J50" s="16" t="n">
        <f aca="false">G50*H50</f>
        <v>25140</v>
      </c>
      <c r="K50" s="16" t="n">
        <f aca="false">(H50-I50)*G50</f>
        <v>980.000000000001</v>
      </c>
      <c r="L50" s="17" t="n">
        <f aca="false">IF(I50=0,0,H50/I50-1)</f>
        <v>0.0405629139072847</v>
      </c>
      <c r="M50" s="14" t="n">
        <v>1</v>
      </c>
      <c r="N50" s="18" t="n">
        <v>0.026</v>
      </c>
    </row>
    <row r="51" customFormat="false" ht="15" hidden="false" customHeight="false" outlineLevel="0" collapsed="false">
      <c r="A51" s="12" t="s">
        <v>109</v>
      </c>
      <c r="B51" s="13" t="n">
        <v>45674</v>
      </c>
      <c r="C51" s="12" t="str">
        <f aca="false">TEXT(B51,"yyyy-mm")</f>
        <v>2025-01</v>
      </c>
      <c r="D51" s="12" t="s">
        <v>75</v>
      </c>
      <c r="E51" s="12" t="s">
        <v>49</v>
      </c>
      <c r="F51" s="12" t="s">
        <v>50</v>
      </c>
      <c r="G51" s="14" t="n">
        <v>600</v>
      </c>
      <c r="H51" s="15" t="n">
        <v>19.72</v>
      </c>
      <c r="I51" s="15" t="n">
        <v>20.69</v>
      </c>
      <c r="J51" s="16" t="n">
        <f aca="false">G51*H51</f>
        <v>11832</v>
      </c>
      <c r="K51" s="16" t="n">
        <f aca="false">(H51-I51)*G51</f>
        <v>-582.000000000002</v>
      </c>
      <c r="L51" s="17" t="n">
        <f aca="false">IF(I51=0,0,H51/I51-1)</f>
        <v>-0.0468825519574675</v>
      </c>
      <c r="M51" s="14" t="n">
        <v>1</v>
      </c>
      <c r="N51" s="18" t="n">
        <v>0.05</v>
      </c>
    </row>
    <row r="52" customFormat="false" ht="15" hidden="false" customHeight="false" outlineLevel="0" collapsed="false">
      <c r="A52" s="12" t="s">
        <v>110</v>
      </c>
      <c r="B52" s="13" t="n">
        <v>45674</v>
      </c>
      <c r="C52" s="12" t="str">
        <f aca="false">TEXT(B52,"yyyy-mm")</f>
        <v>2025-01</v>
      </c>
      <c r="D52" s="12" t="s">
        <v>111</v>
      </c>
      <c r="E52" s="12" t="s">
        <v>76</v>
      </c>
      <c r="F52" s="12" t="s">
        <v>77</v>
      </c>
      <c r="G52" s="14" t="n">
        <v>200</v>
      </c>
      <c r="H52" s="15" t="n">
        <v>16.44</v>
      </c>
      <c r="I52" s="15" t="n">
        <v>16.83</v>
      </c>
      <c r="J52" s="16" t="n">
        <f aca="false">G52*H52</f>
        <v>3288</v>
      </c>
      <c r="K52" s="16" t="n">
        <f aca="false">(H52-I52)*G52</f>
        <v>-77.9999999999994</v>
      </c>
      <c r="L52" s="17" t="n">
        <f aca="false">IF(I52=0,0,H52/I52-1)</f>
        <v>-0.0231729055258465</v>
      </c>
      <c r="M52" s="14" t="n">
        <v>1</v>
      </c>
      <c r="N52" s="18" t="n">
        <v>0.022</v>
      </c>
    </row>
    <row r="53" customFormat="false" ht="15" hidden="false" customHeight="false" outlineLevel="0" collapsed="false">
      <c r="A53" s="12" t="s">
        <v>112</v>
      </c>
      <c r="B53" s="13" t="n">
        <v>45675</v>
      </c>
      <c r="C53" s="12" t="str">
        <f aca="false">TEXT(B53,"yyyy-mm")</f>
        <v>2025-01</v>
      </c>
      <c r="D53" s="12" t="s">
        <v>35</v>
      </c>
      <c r="E53" s="12" t="s">
        <v>36</v>
      </c>
      <c r="F53" s="12" t="s">
        <v>37</v>
      </c>
      <c r="G53" s="14" t="n">
        <v>800</v>
      </c>
      <c r="H53" s="15" t="n">
        <v>16.14</v>
      </c>
      <c r="I53" s="15" t="n">
        <v>15.77</v>
      </c>
      <c r="J53" s="16" t="n">
        <f aca="false">G53*H53</f>
        <v>12912</v>
      </c>
      <c r="K53" s="16" t="n">
        <f aca="false">(H53-I53)*G53</f>
        <v>296.000000000001</v>
      </c>
      <c r="L53" s="17" t="n">
        <f aca="false">IF(I53=0,0,H53/I53-1)</f>
        <v>0.0234622701331644</v>
      </c>
      <c r="M53" s="14" t="n">
        <v>0</v>
      </c>
      <c r="N53" s="18" t="n">
        <v>0.027</v>
      </c>
    </row>
    <row r="54" customFormat="false" ht="15" hidden="false" customHeight="false" outlineLevel="0" collapsed="false">
      <c r="A54" s="12" t="s">
        <v>113</v>
      </c>
      <c r="B54" s="13" t="n">
        <v>45675</v>
      </c>
      <c r="C54" s="12" t="str">
        <f aca="false">TEXT(B54,"yyyy-mm")</f>
        <v>2025-01</v>
      </c>
      <c r="D54" s="12" t="s">
        <v>80</v>
      </c>
      <c r="E54" s="12" t="s">
        <v>81</v>
      </c>
      <c r="F54" s="12" t="s">
        <v>82</v>
      </c>
      <c r="G54" s="14" t="n">
        <v>1000</v>
      </c>
      <c r="H54" s="15" t="n">
        <v>19.87</v>
      </c>
      <c r="I54" s="15" t="n">
        <v>20.21</v>
      </c>
      <c r="J54" s="16" t="n">
        <f aca="false">G54*H54</f>
        <v>19870</v>
      </c>
      <c r="K54" s="16" t="n">
        <f aca="false">(H54-I54)*G54</f>
        <v>-340</v>
      </c>
      <c r="L54" s="17" t="n">
        <f aca="false">IF(I54=0,0,H54/I54-1)</f>
        <v>-0.016823354774864</v>
      </c>
      <c r="M54" s="14" t="n">
        <v>1</v>
      </c>
      <c r="N54" s="18" t="n">
        <v>0.019</v>
      </c>
    </row>
    <row r="55" customFormat="false" ht="15" hidden="false" customHeight="false" outlineLevel="0" collapsed="false">
      <c r="A55" s="12" t="s">
        <v>114</v>
      </c>
      <c r="B55" s="13" t="n">
        <v>45675</v>
      </c>
      <c r="C55" s="12" t="str">
        <f aca="false">TEXT(B55,"yyyy-mm")</f>
        <v>2025-01</v>
      </c>
      <c r="D55" s="12" t="s">
        <v>80</v>
      </c>
      <c r="E55" s="12" t="s">
        <v>81</v>
      </c>
      <c r="F55" s="12" t="s">
        <v>82</v>
      </c>
      <c r="G55" s="14" t="n">
        <v>1000</v>
      </c>
      <c r="H55" s="15" t="n">
        <v>20.01</v>
      </c>
      <c r="I55" s="15" t="n">
        <v>20.28</v>
      </c>
      <c r="J55" s="16" t="n">
        <f aca="false">G55*H55</f>
        <v>20010</v>
      </c>
      <c r="K55" s="16" t="n">
        <f aca="false">(H55-I55)*G55</f>
        <v>-270</v>
      </c>
      <c r="L55" s="17" t="n">
        <f aca="false">IF(I55=0,0,H55/I55-1)</f>
        <v>-0.0133136094674556</v>
      </c>
      <c r="M55" s="14" t="n">
        <v>1</v>
      </c>
      <c r="N55" s="18" t="n">
        <v>0.02</v>
      </c>
    </row>
    <row r="56" customFormat="false" ht="15" hidden="false" customHeight="false" outlineLevel="0" collapsed="false">
      <c r="A56" s="12" t="s">
        <v>115</v>
      </c>
      <c r="B56" s="13" t="n">
        <v>45675</v>
      </c>
      <c r="C56" s="12" t="str">
        <f aca="false">TEXT(B56,"yyyy-mm")</f>
        <v>2025-01</v>
      </c>
      <c r="D56" s="12" t="s">
        <v>111</v>
      </c>
      <c r="E56" s="12" t="s">
        <v>76</v>
      </c>
      <c r="F56" s="12" t="s">
        <v>77</v>
      </c>
      <c r="G56" s="14" t="n">
        <v>800</v>
      </c>
      <c r="H56" s="15" t="n">
        <v>16.58</v>
      </c>
      <c r="I56" s="15" t="n">
        <v>16.7</v>
      </c>
      <c r="J56" s="16" t="n">
        <f aca="false">G56*H56</f>
        <v>13264</v>
      </c>
      <c r="K56" s="16" t="n">
        <f aca="false">(H56-I56)*G56</f>
        <v>-96.0000000000008</v>
      </c>
      <c r="L56" s="17" t="n">
        <f aca="false">IF(I56=0,0,H56/I56-1)</f>
        <v>-0.00718562874251505</v>
      </c>
      <c r="M56" s="14" t="n">
        <v>1</v>
      </c>
      <c r="N56" s="18" t="n">
        <v>0.024</v>
      </c>
    </row>
    <row r="57" customFormat="false" ht="15" hidden="false" customHeight="false" outlineLevel="0" collapsed="false">
      <c r="A57" s="12" t="s">
        <v>116</v>
      </c>
      <c r="B57" s="13" t="n">
        <v>45676</v>
      </c>
      <c r="C57" s="12" t="str">
        <f aca="false">TEXT(B57,"yyyy-mm")</f>
        <v>2025-01</v>
      </c>
      <c r="D57" s="12" t="s">
        <v>35</v>
      </c>
      <c r="E57" s="12" t="s">
        <v>43</v>
      </c>
      <c r="F57" s="12" t="s">
        <v>44</v>
      </c>
      <c r="G57" s="14" t="n">
        <v>400</v>
      </c>
      <c r="H57" s="15" t="n">
        <v>15.39</v>
      </c>
      <c r="I57" s="15" t="n">
        <v>15.29</v>
      </c>
      <c r="J57" s="16" t="n">
        <f aca="false">G57*H57</f>
        <v>6156</v>
      </c>
      <c r="K57" s="16" t="n">
        <f aca="false">(H57-I57)*G57</f>
        <v>40.0000000000006</v>
      </c>
      <c r="L57" s="17" t="n">
        <f aca="false">IF(I57=0,0,H57/I57-1)</f>
        <v>0.00654022236756058</v>
      </c>
      <c r="M57" s="14" t="n">
        <v>1</v>
      </c>
      <c r="N57" s="18" t="n">
        <v>0.018</v>
      </c>
    </row>
    <row r="58" customFormat="false" ht="15" hidden="false" customHeight="false" outlineLevel="0" collapsed="false">
      <c r="A58" s="12" t="s">
        <v>117</v>
      </c>
      <c r="B58" s="13" t="n">
        <v>45676</v>
      </c>
      <c r="C58" s="12" t="str">
        <f aca="false">TEXT(B58,"yyyy-mm")</f>
        <v>2025-01</v>
      </c>
      <c r="D58" s="12" t="s">
        <v>61</v>
      </c>
      <c r="E58" s="12" t="s">
        <v>43</v>
      </c>
      <c r="F58" s="12" t="s">
        <v>44</v>
      </c>
      <c r="G58" s="14" t="n">
        <v>200</v>
      </c>
      <c r="H58" s="15" t="n">
        <v>13.39</v>
      </c>
      <c r="I58" s="15" t="n">
        <v>13.05</v>
      </c>
      <c r="J58" s="16" t="n">
        <f aca="false">G58*H58</f>
        <v>2678</v>
      </c>
      <c r="K58" s="16" t="n">
        <f aca="false">(H58-I58)*G58</f>
        <v>68</v>
      </c>
      <c r="L58" s="17" t="n">
        <f aca="false">IF(I58=0,0,H58/I58-1)</f>
        <v>0.0260536398467433</v>
      </c>
      <c r="M58" s="14" t="n">
        <v>1</v>
      </c>
      <c r="N58" s="18" t="n">
        <v>0.006</v>
      </c>
    </row>
    <row r="59" customFormat="false" ht="15" hidden="false" customHeight="false" outlineLevel="0" collapsed="false">
      <c r="A59" s="12" t="s">
        <v>118</v>
      </c>
      <c r="B59" s="13" t="n">
        <v>45676</v>
      </c>
      <c r="C59" s="12" t="str">
        <f aca="false">TEXT(B59,"yyyy-mm")</f>
        <v>2025-01</v>
      </c>
      <c r="D59" s="12" t="s">
        <v>53</v>
      </c>
      <c r="E59" s="12" t="s">
        <v>54</v>
      </c>
      <c r="F59" s="12" t="s">
        <v>55</v>
      </c>
      <c r="G59" s="14" t="n">
        <v>1000</v>
      </c>
      <c r="H59" s="15" t="n">
        <v>13.52</v>
      </c>
      <c r="I59" s="15" t="n">
        <v>12.92</v>
      </c>
      <c r="J59" s="16" t="n">
        <f aca="false">G59*H59</f>
        <v>13520</v>
      </c>
      <c r="K59" s="16" t="n">
        <f aca="false">(H59-I59)*G59</f>
        <v>600</v>
      </c>
      <c r="L59" s="17" t="n">
        <f aca="false">IF(I59=0,0,H59/I59-1)</f>
        <v>0.046439628482972</v>
      </c>
      <c r="M59" s="14" t="n">
        <v>1</v>
      </c>
      <c r="N59" s="18" t="n">
        <v>0.022</v>
      </c>
    </row>
    <row r="60" customFormat="false" ht="15" hidden="false" customHeight="false" outlineLevel="0" collapsed="false">
      <c r="A60" s="12" t="s">
        <v>119</v>
      </c>
      <c r="B60" s="13" t="n">
        <v>45676</v>
      </c>
      <c r="C60" s="12" t="str">
        <f aca="false">TEXT(B60,"yyyy-mm")</f>
        <v>2025-01</v>
      </c>
      <c r="D60" s="12" t="s">
        <v>58</v>
      </c>
      <c r="E60" s="12" t="s">
        <v>76</v>
      </c>
      <c r="F60" s="12" t="s">
        <v>77</v>
      </c>
      <c r="G60" s="14" t="n">
        <v>400</v>
      </c>
      <c r="H60" s="15" t="n">
        <v>23.06</v>
      </c>
      <c r="I60" s="15" t="n">
        <v>22.92</v>
      </c>
      <c r="J60" s="16" t="n">
        <f aca="false">G60*H60</f>
        <v>9224</v>
      </c>
      <c r="K60" s="16" t="n">
        <f aca="false">(H60-I60)*G60</f>
        <v>55.9999999999988</v>
      </c>
      <c r="L60" s="17" t="n">
        <f aca="false">IF(I60=0,0,H60/I60-1)</f>
        <v>0.00610820244328081</v>
      </c>
      <c r="M60" s="14" t="n">
        <v>1</v>
      </c>
      <c r="N60" s="18" t="n">
        <v>0.03</v>
      </c>
    </row>
    <row r="61" customFormat="false" ht="15" hidden="false" customHeight="false" outlineLevel="0" collapsed="false">
      <c r="A61" s="12" t="s">
        <v>120</v>
      </c>
      <c r="B61" s="13" t="n">
        <v>45676</v>
      </c>
      <c r="C61" s="12" t="str">
        <f aca="false">TEXT(B61,"yyyy-mm")</f>
        <v>2025-01</v>
      </c>
      <c r="D61" s="12" t="s">
        <v>80</v>
      </c>
      <c r="E61" s="12" t="s">
        <v>92</v>
      </c>
      <c r="F61" s="12" t="s">
        <v>93</v>
      </c>
      <c r="G61" s="14" t="n">
        <v>1600</v>
      </c>
      <c r="H61" s="15" t="n">
        <v>19.2</v>
      </c>
      <c r="I61" s="15" t="n">
        <v>19.79</v>
      </c>
      <c r="J61" s="16" t="n">
        <f aca="false">G61*H61</f>
        <v>30720</v>
      </c>
      <c r="K61" s="16" t="n">
        <f aca="false">(H61-I61)*G61</f>
        <v>-944</v>
      </c>
      <c r="L61" s="17" t="n">
        <f aca="false">IF(I61=0,0,H61/I61-1)</f>
        <v>-0.0298130368873168</v>
      </c>
      <c r="M61" s="14" t="n">
        <v>1</v>
      </c>
      <c r="N61" s="18" t="n">
        <v>0.025</v>
      </c>
    </row>
    <row r="62" customFormat="false" ht="15" hidden="false" customHeight="false" outlineLevel="0" collapsed="false">
      <c r="A62" s="12" t="s">
        <v>121</v>
      </c>
      <c r="B62" s="13" t="n">
        <v>45677</v>
      </c>
      <c r="C62" s="12" t="str">
        <f aca="false">TEXT(B62,"yyyy-mm")</f>
        <v>2025-01</v>
      </c>
      <c r="D62" s="12" t="s">
        <v>80</v>
      </c>
      <c r="E62" s="12" t="s">
        <v>92</v>
      </c>
      <c r="F62" s="12" t="s">
        <v>93</v>
      </c>
      <c r="G62" s="14" t="n">
        <v>800</v>
      </c>
      <c r="H62" s="15" t="n">
        <v>18.04</v>
      </c>
      <c r="I62" s="15" t="n">
        <v>19.48</v>
      </c>
      <c r="J62" s="16" t="n">
        <f aca="false">G62*H62</f>
        <v>14432</v>
      </c>
      <c r="K62" s="16" t="n">
        <f aca="false">(H62-I62)*G62</f>
        <v>-1152</v>
      </c>
      <c r="L62" s="17" t="n">
        <f aca="false">IF(I62=0,0,H62/I62-1)</f>
        <v>-0.0739219712525668</v>
      </c>
      <c r="M62" s="14" t="n">
        <v>0</v>
      </c>
      <c r="N62" s="18" t="n">
        <v>0.046</v>
      </c>
    </row>
    <row r="63" customFormat="false" ht="15" hidden="false" customHeight="false" outlineLevel="0" collapsed="false">
      <c r="A63" s="12" t="s">
        <v>122</v>
      </c>
      <c r="B63" s="13" t="n">
        <v>45678</v>
      </c>
      <c r="C63" s="12" t="str">
        <f aca="false">TEXT(B63,"yyyy-mm")</f>
        <v>2025-01</v>
      </c>
      <c r="D63" s="12" t="s">
        <v>39</v>
      </c>
      <c r="E63" s="12" t="s">
        <v>49</v>
      </c>
      <c r="F63" s="12" t="s">
        <v>50</v>
      </c>
      <c r="G63" s="14" t="n">
        <v>1600</v>
      </c>
      <c r="H63" s="15" t="n">
        <v>16.88</v>
      </c>
      <c r="I63" s="15" t="n">
        <v>16.82</v>
      </c>
      <c r="J63" s="16" t="n">
        <f aca="false">G63*H63</f>
        <v>27008</v>
      </c>
      <c r="K63" s="16" t="n">
        <f aca="false">(H63-I63)*G63</f>
        <v>95.999999999998</v>
      </c>
      <c r="L63" s="17" t="n">
        <f aca="false">IF(I63=0,0,H63/I63-1)</f>
        <v>0.00356718192627814</v>
      </c>
      <c r="M63" s="14" t="n">
        <v>1</v>
      </c>
      <c r="N63" s="18" t="n">
        <v>0.029</v>
      </c>
    </row>
    <row r="64" customFormat="false" ht="15" hidden="false" customHeight="false" outlineLevel="0" collapsed="false">
      <c r="A64" s="12" t="s">
        <v>123</v>
      </c>
      <c r="B64" s="13" t="n">
        <v>45678</v>
      </c>
      <c r="C64" s="12" t="str">
        <f aca="false">TEXT(B64,"yyyy-mm")</f>
        <v>2025-01</v>
      </c>
      <c r="D64" s="12" t="s">
        <v>80</v>
      </c>
      <c r="E64" s="12" t="s">
        <v>76</v>
      </c>
      <c r="F64" s="12" t="s">
        <v>77</v>
      </c>
      <c r="G64" s="14" t="n">
        <v>2000</v>
      </c>
      <c r="H64" s="15" t="n">
        <v>19.87</v>
      </c>
      <c r="I64" s="15" t="n">
        <v>19.82</v>
      </c>
      <c r="J64" s="16" t="n">
        <f aca="false">G64*H64</f>
        <v>39740</v>
      </c>
      <c r="K64" s="16" t="n">
        <f aca="false">(H64-I64)*G64</f>
        <v>100.000000000001</v>
      </c>
      <c r="L64" s="17" t="n">
        <f aca="false">IF(I64=0,0,H64/I64-1)</f>
        <v>0.00252270433905144</v>
      </c>
      <c r="M64" s="14" t="n">
        <v>1</v>
      </c>
      <c r="N64" s="18" t="n">
        <v>0.018</v>
      </c>
    </row>
    <row r="65" customFormat="false" ht="15" hidden="false" customHeight="false" outlineLevel="0" collapsed="false">
      <c r="A65" s="12" t="s">
        <v>124</v>
      </c>
      <c r="B65" s="13" t="n">
        <v>45678</v>
      </c>
      <c r="C65" s="12" t="str">
        <f aca="false">TEXT(B65,"yyyy-mm")</f>
        <v>2025-01</v>
      </c>
      <c r="D65" s="12" t="s">
        <v>53</v>
      </c>
      <c r="E65" s="12" t="s">
        <v>49</v>
      </c>
      <c r="F65" s="12" t="s">
        <v>50</v>
      </c>
      <c r="G65" s="14" t="n">
        <v>1600</v>
      </c>
      <c r="H65" s="15" t="n">
        <v>13.42</v>
      </c>
      <c r="I65" s="15" t="n">
        <v>13.29</v>
      </c>
      <c r="J65" s="16" t="n">
        <f aca="false">G65*H65</f>
        <v>21472</v>
      </c>
      <c r="K65" s="16" t="n">
        <f aca="false">(H65-I65)*G65</f>
        <v>208.000000000001</v>
      </c>
      <c r="L65" s="17" t="n">
        <f aca="false">IF(I65=0,0,H65/I65-1)</f>
        <v>0.00978179082016562</v>
      </c>
      <c r="M65" s="14" t="n">
        <v>1</v>
      </c>
      <c r="N65" s="18" t="n">
        <v>0.042</v>
      </c>
    </row>
    <row r="66" customFormat="false" ht="15" hidden="false" customHeight="false" outlineLevel="0" collapsed="false">
      <c r="A66" s="12" t="s">
        <v>125</v>
      </c>
      <c r="B66" s="13" t="n">
        <v>45679</v>
      </c>
      <c r="C66" s="12" t="str">
        <f aca="false">TEXT(B66,"yyyy-mm")</f>
        <v>2025-01</v>
      </c>
      <c r="D66" s="12" t="s">
        <v>35</v>
      </c>
      <c r="E66" s="12" t="s">
        <v>43</v>
      </c>
      <c r="F66" s="12" t="s">
        <v>44</v>
      </c>
      <c r="G66" s="14" t="n">
        <v>3200</v>
      </c>
      <c r="H66" s="15" t="n">
        <v>15.83</v>
      </c>
      <c r="I66" s="15" t="n">
        <v>15.27</v>
      </c>
      <c r="J66" s="16" t="n">
        <f aca="false">G66*H66</f>
        <v>50656</v>
      </c>
      <c r="K66" s="16" t="n">
        <f aca="false">(H66-I66)*G66</f>
        <v>1792</v>
      </c>
      <c r="L66" s="17" t="n">
        <f aca="false">IF(I66=0,0,H66/I66-1)</f>
        <v>0.0366732154551408</v>
      </c>
      <c r="M66" s="14" t="n">
        <v>1</v>
      </c>
      <c r="N66" s="18" t="n">
        <v>0.016</v>
      </c>
    </row>
    <row r="67" customFormat="false" ht="15" hidden="false" customHeight="false" outlineLevel="0" collapsed="false">
      <c r="A67" s="12" t="s">
        <v>126</v>
      </c>
      <c r="B67" s="13" t="n">
        <v>45680</v>
      </c>
      <c r="C67" s="12" t="str">
        <f aca="false">TEXT(B67,"yyyy-mm")</f>
        <v>2025-01</v>
      </c>
      <c r="D67" s="12" t="s">
        <v>39</v>
      </c>
      <c r="E67" s="12" t="s">
        <v>46</v>
      </c>
      <c r="F67" s="12" t="s">
        <v>47</v>
      </c>
      <c r="G67" s="14" t="n">
        <v>1600</v>
      </c>
      <c r="H67" s="15" t="n">
        <v>18.02</v>
      </c>
      <c r="I67" s="15" t="n">
        <v>16.82</v>
      </c>
      <c r="J67" s="16" t="n">
        <f aca="false">G67*H67</f>
        <v>28832</v>
      </c>
      <c r="K67" s="16" t="n">
        <f aca="false">(H67-I67)*G67</f>
        <v>1920</v>
      </c>
      <c r="L67" s="17" t="n">
        <f aca="false">IF(I67=0,0,H67/I67-1)</f>
        <v>0.0713436385255648</v>
      </c>
      <c r="M67" s="14" t="n">
        <v>1</v>
      </c>
      <c r="N67" s="18" t="n">
        <v>0.009</v>
      </c>
    </row>
    <row r="68" customFormat="false" ht="15" hidden="false" customHeight="false" outlineLevel="0" collapsed="false">
      <c r="A68" s="12" t="s">
        <v>127</v>
      </c>
      <c r="B68" s="13" t="n">
        <v>45680</v>
      </c>
      <c r="C68" s="12" t="str">
        <f aca="false">TEXT(B68,"yyyy-mm")</f>
        <v>2025-01</v>
      </c>
      <c r="D68" s="12" t="s">
        <v>35</v>
      </c>
      <c r="E68" s="12" t="s">
        <v>43</v>
      </c>
      <c r="F68" s="12" t="s">
        <v>44</v>
      </c>
      <c r="G68" s="14" t="n">
        <v>1200</v>
      </c>
      <c r="H68" s="15" t="n">
        <v>14.96</v>
      </c>
      <c r="I68" s="15" t="n">
        <v>14.95</v>
      </c>
      <c r="J68" s="16" t="n">
        <f aca="false">G68*H68</f>
        <v>17952</v>
      </c>
      <c r="K68" s="16" t="n">
        <f aca="false">(H68-I68)*G68</f>
        <v>12.0000000000019</v>
      </c>
      <c r="L68" s="17" t="n">
        <f aca="false">IF(I68=0,0,H68/I68-1)</f>
        <v>0.000668896321070367</v>
      </c>
      <c r="M68" s="14" t="n">
        <v>1</v>
      </c>
      <c r="N68" s="18" t="n">
        <v>0.016</v>
      </c>
    </row>
    <row r="69" customFormat="false" ht="15" hidden="false" customHeight="false" outlineLevel="0" collapsed="false">
      <c r="A69" s="12" t="s">
        <v>128</v>
      </c>
      <c r="B69" s="13" t="n">
        <v>45680</v>
      </c>
      <c r="C69" s="12" t="str">
        <f aca="false">TEXT(B69,"yyyy-mm")</f>
        <v>2025-01</v>
      </c>
      <c r="D69" s="12" t="s">
        <v>111</v>
      </c>
      <c r="E69" s="12" t="s">
        <v>76</v>
      </c>
      <c r="F69" s="12" t="s">
        <v>77</v>
      </c>
      <c r="G69" s="14" t="n">
        <v>200</v>
      </c>
      <c r="H69" s="15" t="n">
        <v>16.91</v>
      </c>
      <c r="I69" s="15" t="n">
        <v>16.97</v>
      </c>
      <c r="J69" s="16" t="n">
        <f aca="false">G69*H69</f>
        <v>3382</v>
      </c>
      <c r="K69" s="16" t="n">
        <f aca="false">(H69-I69)*G69</f>
        <v>-11.9999999999997</v>
      </c>
      <c r="L69" s="17" t="n">
        <f aca="false">IF(I69=0,0,H69/I69-1)</f>
        <v>-0.00353565114908649</v>
      </c>
      <c r="M69" s="14" t="n">
        <v>1</v>
      </c>
      <c r="N69" s="18" t="n">
        <v>0.029</v>
      </c>
    </row>
    <row r="70" customFormat="false" ht="15" hidden="false" customHeight="false" outlineLevel="0" collapsed="false">
      <c r="A70" s="12" t="s">
        <v>129</v>
      </c>
      <c r="B70" s="13" t="n">
        <v>45680</v>
      </c>
      <c r="C70" s="12" t="str">
        <f aca="false">TEXT(B70,"yyyy-mm")</f>
        <v>2025-01</v>
      </c>
      <c r="D70" s="12" t="s">
        <v>58</v>
      </c>
      <c r="E70" s="12" t="s">
        <v>59</v>
      </c>
      <c r="F70" s="12" t="s">
        <v>55</v>
      </c>
      <c r="G70" s="14" t="n">
        <v>2000</v>
      </c>
      <c r="H70" s="15" t="n">
        <v>25.04</v>
      </c>
      <c r="I70" s="15" t="n">
        <v>23.09</v>
      </c>
      <c r="J70" s="16" t="n">
        <f aca="false">G70*H70</f>
        <v>50080</v>
      </c>
      <c r="K70" s="16" t="n">
        <f aca="false">(H70-I70)*G70</f>
        <v>3900</v>
      </c>
      <c r="L70" s="17" t="n">
        <f aca="false">IF(I70=0,0,H70/I70-1)</f>
        <v>0.0844521437851884</v>
      </c>
      <c r="M70" s="14" t="n">
        <v>1</v>
      </c>
      <c r="N70" s="18" t="n">
        <v>0.014</v>
      </c>
    </row>
    <row r="71" customFormat="false" ht="15" hidden="false" customHeight="false" outlineLevel="0" collapsed="false">
      <c r="A71" s="12" t="s">
        <v>130</v>
      </c>
      <c r="B71" s="13" t="n">
        <v>45681</v>
      </c>
      <c r="C71" s="12" t="str">
        <f aca="false">TEXT(B71,"yyyy-mm")</f>
        <v>2025-01</v>
      </c>
      <c r="D71" s="12" t="s">
        <v>35</v>
      </c>
      <c r="E71" s="12" t="s">
        <v>43</v>
      </c>
      <c r="F71" s="12" t="s">
        <v>44</v>
      </c>
      <c r="G71" s="14" t="n">
        <v>3200</v>
      </c>
      <c r="H71" s="15" t="n">
        <v>15.54</v>
      </c>
      <c r="I71" s="15" t="n">
        <v>15.41</v>
      </c>
      <c r="J71" s="16" t="n">
        <f aca="false">G71*H71</f>
        <v>49728</v>
      </c>
      <c r="K71" s="16" t="n">
        <f aca="false">(H71-I71)*G71</f>
        <v>415.999999999997</v>
      </c>
      <c r="L71" s="17" t="n">
        <f aca="false">IF(I71=0,0,H71/I71-1)</f>
        <v>0.00843608046722899</v>
      </c>
      <c r="M71" s="14" t="n">
        <v>0</v>
      </c>
      <c r="N71" s="18" t="n">
        <v>0.007</v>
      </c>
    </row>
    <row r="72" customFormat="false" ht="15" hidden="false" customHeight="false" outlineLevel="0" collapsed="false">
      <c r="A72" s="12" t="s">
        <v>131</v>
      </c>
      <c r="B72" s="13" t="n">
        <v>45681</v>
      </c>
      <c r="C72" s="12" t="str">
        <f aca="false">TEXT(B72,"yyyy-mm")</f>
        <v>2025-01</v>
      </c>
      <c r="D72" s="12" t="s">
        <v>80</v>
      </c>
      <c r="E72" s="12" t="s">
        <v>81</v>
      </c>
      <c r="F72" s="12" t="s">
        <v>82</v>
      </c>
      <c r="G72" s="14" t="n">
        <v>1000</v>
      </c>
      <c r="H72" s="15" t="n">
        <v>18.97</v>
      </c>
      <c r="I72" s="15" t="n">
        <v>19.51</v>
      </c>
      <c r="J72" s="16" t="n">
        <f aca="false">G72*H72</f>
        <v>18970</v>
      </c>
      <c r="K72" s="16" t="n">
        <f aca="false">(H72-I72)*G72</f>
        <v>-540.000000000003</v>
      </c>
      <c r="L72" s="17" t="n">
        <f aca="false">IF(I72=0,0,H72/I72-1)</f>
        <v>-0.0276781137878013</v>
      </c>
      <c r="M72" s="14" t="n">
        <v>1</v>
      </c>
      <c r="N72" s="18" t="n">
        <v>0.021</v>
      </c>
    </row>
    <row r="73" customFormat="false" ht="15" hidden="false" customHeight="false" outlineLevel="0" collapsed="false">
      <c r="A73" s="12" t="s">
        <v>132</v>
      </c>
      <c r="B73" s="13" t="n">
        <v>45681</v>
      </c>
      <c r="C73" s="12" t="str">
        <f aca="false">TEXT(B73,"yyyy-mm")</f>
        <v>2025-01</v>
      </c>
      <c r="D73" s="12" t="s">
        <v>35</v>
      </c>
      <c r="E73" s="12" t="s">
        <v>36</v>
      </c>
      <c r="F73" s="12" t="s">
        <v>37</v>
      </c>
      <c r="G73" s="14" t="n">
        <v>4000</v>
      </c>
      <c r="H73" s="15" t="n">
        <v>15.34</v>
      </c>
      <c r="I73" s="15" t="n">
        <v>14.91</v>
      </c>
      <c r="J73" s="16" t="n">
        <f aca="false">G73*H73</f>
        <v>61360</v>
      </c>
      <c r="K73" s="16" t="n">
        <f aca="false">(H73-I73)*G73</f>
        <v>1720</v>
      </c>
      <c r="L73" s="17" t="n">
        <f aca="false">IF(I73=0,0,H73/I73-1)</f>
        <v>0.0288397048960429</v>
      </c>
      <c r="M73" s="14" t="n">
        <v>1</v>
      </c>
      <c r="N73" s="18" t="n">
        <v>0.016</v>
      </c>
    </row>
    <row r="74" customFormat="false" ht="15" hidden="false" customHeight="false" outlineLevel="0" collapsed="false">
      <c r="A74" s="12" t="s">
        <v>133</v>
      </c>
      <c r="B74" s="13" t="n">
        <v>45681</v>
      </c>
      <c r="C74" s="12" t="str">
        <f aca="false">TEXT(B74,"yyyy-mm")</f>
        <v>2025-01</v>
      </c>
      <c r="D74" s="12" t="s">
        <v>39</v>
      </c>
      <c r="E74" s="12" t="s">
        <v>46</v>
      </c>
      <c r="F74" s="12" t="s">
        <v>47</v>
      </c>
      <c r="G74" s="14" t="n">
        <v>200</v>
      </c>
      <c r="H74" s="15" t="n">
        <v>16.55</v>
      </c>
      <c r="I74" s="15" t="n">
        <v>16.14</v>
      </c>
      <c r="J74" s="16" t="n">
        <f aca="false">G74*H74</f>
        <v>3310</v>
      </c>
      <c r="K74" s="16" t="n">
        <f aca="false">(H74-I74)*G74</f>
        <v>82</v>
      </c>
      <c r="L74" s="17" t="n">
        <f aca="false">IF(I74=0,0,H74/I74-1)</f>
        <v>0.0254027261462206</v>
      </c>
      <c r="M74" s="14" t="n">
        <v>1</v>
      </c>
      <c r="N74" s="18" t="n">
        <v>0.009</v>
      </c>
    </row>
    <row r="75" customFormat="false" ht="15" hidden="false" customHeight="false" outlineLevel="0" collapsed="false">
      <c r="A75" s="12" t="s">
        <v>134</v>
      </c>
      <c r="B75" s="13" t="n">
        <v>45682</v>
      </c>
      <c r="C75" s="12" t="str">
        <f aca="false">TEXT(B75,"yyyy-mm")</f>
        <v>2025-01</v>
      </c>
      <c r="D75" s="12" t="s">
        <v>53</v>
      </c>
      <c r="E75" s="12" t="s">
        <v>54</v>
      </c>
      <c r="F75" s="12" t="s">
        <v>55</v>
      </c>
      <c r="G75" s="14" t="n">
        <v>200</v>
      </c>
      <c r="H75" s="15" t="n">
        <v>12.88</v>
      </c>
      <c r="I75" s="15" t="n">
        <v>12.81</v>
      </c>
      <c r="J75" s="16" t="n">
        <f aca="false">G75*H75</f>
        <v>2576</v>
      </c>
      <c r="K75" s="16" t="n">
        <f aca="false">(H75-I75)*G75</f>
        <v>14.0000000000001</v>
      </c>
      <c r="L75" s="17" t="n">
        <f aca="false">IF(I75=0,0,H75/I75-1)</f>
        <v>0.00546448087431695</v>
      </c>
      <c r="M75" s="14" t="n">
        <v>1</v>
      </c>
      <c r="N75" s="18" t="n">
        <v>0.011</v>
      </c>
    </row>
    <row r="76" customFormat="false" ht="15" hidden="false" customHeight="false" outlineLevel="0" collapsed="false">
      <c r="A76" s="12" t="s">
        <v>135</v>
      </c>
      <c r="B76" s="13" t="n">
        <v>45682</v>
      </c>
      <c r="C76" s="12" t="str">
        <f aca="false">TEXT(B76,"yyyy-mm")</f>
        <v>2025-01</v>
      </c>
      <c r="D76" s="12" t="s">
        <v>53</v>
      </c>
      <c r="E76" s="12" t="s">
        <v>54</v>
      </c>
      <c r="F76" s="12" t="s">
        <v>55</v>
      </c>
      <c r="G76" s="14" t="n">
        <v>600</v>
      </c>
      <c r="H76" s="15" t="n">
        <v>13.52</v>
      </c>
      <c r="I76" s="15" t="n">
        <v>13.33</v>
      </c>
      <c r="J76" s="16" t="n">
        <f aca="false">G76*H76</f>
        <v>8112</v>
      </c>
      <c r="K76" s="16" t="n">
        <f aca="false">(H76-I76)*G76</f>
        <v>114</v>
      </c>
      <c r="L76" s="17" t="n">
        <f aca="false">IF(I76=0,0,H76/I76-1)</f>
        <v>0.0142535633908476</v>
      </c>
      <c r="M76" s="14" t="n">
        <v>1</v>
      </c>
      <c r="N76" s="18" t="n">
        <v>0.004</v>
      </c>
    </row>
    <row r="77" customFormat="false" ht="15" hidden="false" customHeight="false" outlineLevel="0" collapsed="false">
      <c r="A77" s="12" t="s">
        <v>136</v>
      </c>
      <c r="B77" s="13" t="n">
        <v>45682</v>
      </c>
      <c r="C77" s="12" t="str">
        <f aca="false">TEXT(B77,"yyyy-mm")</f>
        <v>2025-01</v>
      </c>
      <c r="D77" s="12" t="s">
        <v>39</v>
      </c>
      <c r="E77" s="12" t="s">
        <v>46</v>
      </c>
      <c r="F77" s="12" t="s">
        <v>47</v>
      </c>
      <c r="G77" s="14" t="n">
        <v>600</v>
      </c>
      <c r="H77" s="15" t="n">
        <v>17.92</v>
      </c>
      <c r="I77" s="15" t="n">
        <v>16.91</v>
      </c>
      <c r="J77" s="16" t="n">
        <f aca="false">G77*H77</f>
        <v>10752</v>
      </c>
      <c r="K77" s="16" t="n">
        <f aca="false">(H77-I77)*G77</f>
        <v>606.000000000001</v>
      </c>
      <c r="L77" s="17" t="n">
        <f aca="false">IF(I77=0,0,H77/I77-1)</f>
        <v>0.0597279716144294</v>
      </c>
      <c r="M77" s="14" t="n">
        <v>1</v>
      </c>
      <c r="N77" s="18" t="n">
        <v>0.008</v>
      </c>
    </row>
    <row r="78" customFormat="false" ht="15" hidden="false" customHeight="false" outlineLevel="0" collapsed="false">
      <c r="A78" s="12" t="s">
        <v>137</v>
      </c>
      <c r="B78" s="13" t="n">
        <v>45684</v>
      </c>
      <c r="C78" s="12" t="str">
        <f aca="false">TEXT(B78,"yyyy-mm")</f>
        <v>2025-01</v>
      </c>
      <c r="D78" s="12" t="s">
        <v>75</v>
      </c>
      <c r="E78" s="12" t="s">
        <v>49</v>
      </c>
      <c r="F78" s="12" t="s">
        <v>50</v>
      </c>
      <c r="G78" s="14" t="n">
        <v>200</v>
      </c>
      <c r="H78" s="15" t="n">
        <v>19.59</v>
      </c>
      <c r="I78" s="15" t="n">
        <v>20.59</v>
      </c>
      <c r="J78" s="16" t="n">
        <f aca="false">G78*H78</f>
        <v>3918</v>
      </c>
      <c r="K78" s="16" t="n">
        <f aca="false">(H78-I78)*G78</f>
        <v>-200</v>
      </c>
      <c r="L78" s="17" t="n">
        <f aca="false">IF(I78=0,0,H78/I78-1)</f>
        <v>-0.0485672656629432</v>
      </c>
      <c r="M78" s="14" t="n">
        <v>1</v>
      </c>
      <c r="N78" s="18" t="n">
        <v>0.024</v>
      </c>
    </row>
    <row r="79" customFormat="false" ht="15" hidden="false" customHeight="false" outlineLevel="0" collapsed="false">
      <c r="A79" s="12" t="s">
        <v>138</v>
      </c>
      <c r="B79" s="13" t="n">
        <v>45684</v>
      </c>
      <c r="C79" s="12" t="str">
        <f aca="false">TEXT(B79,"yyyy-mm")</f>
        <v>2025-01</v>
      </c>
      <c r="D79" s="12" t="s">
        <v>35</v>
      </c>
      <c r="E79" s="12" t="s">
        <v>36</v>
      </c>
      <c r="F79" s="12" t="s">
        <v>37</v>
      </c>
      <c r="G79" s="14" t="n">
        <v>4000</v>
      </c>
      <c r="H79" s="15" t="n">
        <v>15.17</v>
      </c>
      <c r="I79" s="15" t="n">
        <v>15.09</v>
      </c>
      <c r="J79" s="16" t="n">
        <f aca="false">G79*H79</f>
        <v>60680</v>
      </c>
      <c r="K79" s="16" t="n">
        <f aca="false">(H79-I79)*G79</f>
        <v>320</v>
      </c>
      <c r="L79" s="17" t="n">
        <f aca="false">IF(I79=0,0,H79/I79-1)</f>
        <v>0.00530152418820418</v>
      </c>
      <c r="M79" s="14" t="n">
        <v>1</v>
      </c>
      <c r="N79" s="18" t="n">
        <v>0.021</v>
      </c>
    </row>
    <row r="80" customFormat="false" ht="15" hidden="false" customHeight="false" outlineLevel="0" collapsed="false">
      <c r="A80" s="12" t="s">
        <v>139</v>
      </c>
      <c r="B80" s="13" t="n">
        <v>45685</v>
      </c>
      <c r="C80" s="12" t="str">
        <f aca="false">TEXT(B80,"yyyy-mm")</f>
        <v>2025-01</v>
      </c>
      <c r="D80" s="12" t="s">
        <v>80</v>
      </c>
      <c r="E80" s="12" t="s">
        <v>81</v>
      </c>
      <c r="F80" s="12" t="s">
        <v>82</v>
      </c>
      <c r="G80" s="14" t="n">
        <v>600</v>
      </c>
      <c r="H80" s="15" t="n">
        <v>20.02</v>
      </c>
      <c r="I80" s="15" t="n">
        <v>20.07</v>
      </c>
      <c r="J80" s="16" t="n">
        <f aca="false">G80*H80</f>
        <v>12012</v>
      </c>
      <c r="K80" s="16" t="n">
        <f aca="false">(H80-I80)*G80</f>
        <v>-30.0000000000004</v>
      </c>
      <c r="L80" s="17" t="n">
        <f aca="false">IF(I80=0,0,H80/I80-1)</f>
        <v>-0.00249128051818637</v>
      </c>
      <c r="M80" s="14" t="n">
        <v>1</v>
      </c>
      <c r="N80" s="18" t="n">
        <v>0.021</v>
      </c>
    </row>
    <row r="81" customFormat="false" ht="15" hidden="false" customHeight="false" outlineLevel="0" collapsed="false">
      <c r="A81" s="12" t="s">
        <v>140</v>
      </c>
      <c r="B81" s="13" t="n">
        <v>45685</v>
      </c>
      <c r="C81" s="12" t="str">
        <f aca="false">TEXT(B81,"yyyy-mm")</f>
        <v>2025-01</v>
      </c>
      <c r="D81" s="12" t="s">
        <v>53</v>
      </c>
      <c r="E81" s="12" t="s">
        <v>54</v>
      </c>
      <c r="F81" s="12" t="s">
        <v>55</v>
      </c>
      <c r="G81" s="14" t="n">
        <v>1200</v>
      </c>
      <c r="H81" s="15" t="n">
        <v>13.08</v>
      </c>
      <c r="I81" s="15" t="n">
        <v>13.04</v>
      </c>
      <c r="J81" s="16" t="n">
        <f aca="false">G81*H81</f>
        <v>15696</v>
      </c>
      <c r="K81" s="16" t="n">
        <f aca="false">(H81-I81)*G81</f>
        <v>48.0000000000011</v>
      </c>
      <c r="L81" s="17" t="n">
        <f aca="false">IF(I81=0,0,H81/I81-1)</f>
        <v>0.00306748466257667</v>
      </c>
      <c r="M81" s="14" t="n">
        <v>1</v>
      </c>
      <c r="N81" s="18" t="n">
        <v>0.017</v>
      </c>
    </row>
    <row r="82" customFormat="false" ht="15" hidden="false" customHeight="false" outlineLevel="0" collapsed="false">
      <c r="A82" s="12" t="s">
        <v>141</v>
      </c>
      <c r="B82" s="13" t="n">
        <v>45686</v>
      </c>
      <c r="C82" s="12" t="str">
        <f aca="false">TEXT(B82,"yyyy-mm")</f>
        <v>2025-01</v>
      </c>
      <c r="D82" s="12" t="s">
        <v>80</v>
      </c>
      <c r="E82" s="12" t="s">
        <v>81</v>
      </c>
      <c r="F82" s="12" t="s">
        <v>82</v>
      </c>
      <c r="G82" s="14" t="n">
        <v>1000</v>
      </c>
      <c r="H82" s="15" t="n">
        <v>19.45</v>
      </c>
      <c r="I82" s="15" t="n">
        <v>20.29</v>
      </c>
      <c r="J82" s="16" t="n">
        <f aca="false">G82*H82</f>
        <v>19450</v>
      </c>
      <c r="K82" s="16" t="n">
        <f aca="false">(H82-I82)*G82</f>
        <v>-840</v>
      </c>
      <c r="L82" s="17" t="n">
        <f aca="false">IF(I82=0,0,H82/I82-1)</f>
        <v>-0.0413997042878265</v>
      </c>
      <c r="M82" s="14" t="n">
        <v>0</v>
      </c>
      <c r="N82" s="18" t="n">
        <v>0.022</v>
      </c>
    </row>
    <row r="83" customFormat="false" ht="15" hidden="false" customHeight="false" outlineLevel="0" collapsed="false">
      <c r="A83" s="12" t="s">
        <v>142</v>
      </c>
      <c r="B83" s="13" t="n">
        <v>45686</v>
      </c>
      <c r="C83" s="12" t="str">
        <f aca="false">TEXT(B83,"yyyy-mm")</f>
        <v>2025-01</v>
      </c>
      <c r="D83" s="12" t="s">
        <v>53</v>
      </c>
      <c r="E83" s="12" t="s">
        <v>54</v>
      </c>
      <c r="F83" s="12" t="s">
        <v>55</v>
      </c>
      <c r="G83" s="14" t="n">
        <v>1000</v>
      </c>
      <c r="H83" s="15" t="n">
        <v>13.47</v>
      </c>
      <c r="I83" s="15" t="n">
        <v>13.31</v>
      </c>
      <c r="J83" s="16" t="n">
        <f aca="false">G83*H83</f>
        <v>13470</v>
      </c>
      <c r="K83" s="16" t="n">
        <f aca="false">(H83-I83)*G83</f>
        <v>160</v>
      </c>
      <c r="L83" s="17" t="n">
        <f aca="false">IF(I83=0,0,H83/I83-1)</f>
        <v>0.0120210368144253</v>
      </c>
      <c r="M83" s="14" t="n">
        <v>1</v>
      </c>
      <c r="N83" s="18" t="n">
        <v>0.012</v>
      </c>
    </row>
    <row r="84" customFormat="false" ht="15" hidden="false" customHeight="false" outlineLevel="0" collapsed="false">
      <c r="A84" s="12" t="s">
        <v>143</v>
      </c>
      <c r="B84" s="13" t="n">
        <v>45687</v>
      </c>
      <c r="C84" s="12" t="str">
        <f aca="false">TEXT(B84,"yyyy-mm")</f>
        <v>2025-01</v>
      </c>
      <c r="D84" s="12" t="s">
        <v>53</v>
      </c>
      <c r="E84" s="12" t="s">
        <v>54</v>
      </c>
      <c r="F84" s="12" t="s">
        <v>55</v>
      </c>
      <c r="G84" s="14" t="n">
        <v>600</v>
      </c>
      <c r="H84" s="15" t="n">
        <v>14.15</v>
      </c>
      <c r="I84" s="15" t="n">
        <v>13.36</v>
      </c>
      <c r="J84" s="16" t="n">
        <f aca="false">G84*H84</f>
        <v>8490</v>
      </c>
      <c r="K84" s="16" t="n">
        <f aca="false">(H84-I84)*G84</f>
        <v>474.000000000001</v>
      </c>
      <c r="L84" s="17" t="n">
        <f aca="false">IF(I84=0,0,H84/I84-1)</f>
        <v>0.0591317365269461</v>
      </c>
      <c r="M84" s="14" t="n">
        <v>1</v>
      </c>
      <c r="N84" s="18" t="n">
        <v>0.023</v>
      </c>
    </row>
    <row r="85" customFormat="false" ht="15" hidden="false" customHeight="false" outlineLevel="0" collapsed="false">
      <c r="A85" s="12" t="s">
        <v>144</v>
      </c>
      <c r="B85" s="13" t="n">
        <v>45687</v>
      </c>
      <c r="C85" s="12" t="str">
        <f aca="false">TEXT(B85,"yyyy-mm")</f>
        <v>2025-01</v>
      </c>
      <c r="D85" s="12" t="s">
        <v>35</v>
      </c>
      <c r="E85" s="12" t="s">
        <v>36</v>
      </c>
      <c r="F85" s="12" t="s">
        <v>37</v>
      </c>
      <c r="G85" s="14" t="n">
        <v>800</v>
      </c>
      <c r="H85" s="15" t="n">
        <v>15.36</v>
      </c>
      <c r="I85" s="15" t="n">
        <v>15.06</v>
      </c>
      <c r="J85" s="16" t="n">
        <f aca="false">G85*H85</f>
        <v>12288</v>
      </c>
      <c r="K85" s="16" t="n">
        <f aca="false">(H85-I85)*G85</f>
        <v>239.999999999999</v>
      </c>
      <c r="L85" s="17" t="n">
        <f aca="false">IF(I85=0,0,H85/I85-1)</f>
        <v>0.0199203187250996</v>
      </c>
      <c r="M85" s="14" t="n">
        <v>1</v>
      </c>
      <c r="N85" s="18" t="n">
        <v>0.004</v>
      </c>
    </row>
    <row r="86" customFormat="false" ht="15" hidden="false" customHeight="false" outlineLevel="0" collapsed="false">
      <c r="A86" s="12" t="s">
        <v>145</v>
      </c>
      <c r="B86" s="13" t="n">
        <v>45687</v>
      </c>
      <c r="C86" s="12" t="str">
        <f aca="false">TEXT(B86,"yyyy-mm")</f>
        <v>2025-01</v>
      </c>
      <c r="D86" s="12" t="s">
        <v>39</v>
      </c>
      <c r="E86" s="12" t="s">
        <v>46</v>
      </c>
      <c r="F86" s="12" t="s">
        <v>47</v>
      </c>
      <c r="G86" s="14" t="n">
        <v>600</v>
      </c>
      <c r="H86" s="15" t="n">
        <v>17.4</v>
      </c>
      <c r="I86" s="15" t="n">
        <v>16.92</v>
      </c>
      <c r="J86" s="16" t="n">
        <f aca="false">G86*H86</f>
        <v>10440</v>
      </c>
      <c r="K86" s="16" t="n">
        <f aca="false">(H86-I86)*G86</f>
        <v>287.999999999998</v>
      </c>
      <c r="L86" s="17" t="n">
        <f aca="false">IF(I86=0,0,H86/I86-1)</f>
        <v>0.028368794326241</v>
      </c>
      <c r="M86" s="14" t="n">
        <v>1</v>
      </c>
      <c r="N86" s="18" t="n">
        <v>0.005</v>
      </c>
    </row>
    <row r="87" customFormat="false" ht="15" hidden="false" customHeight="false" outlineLevel="0" collapsed="false">
      <c r="A87" s="12" t="s">
        <v>146</v>
      </c>
      <c r="B87" s="13" t="n">
        <v>45687</v>
      </c>
      <c r="C87" s="12" t="str">
        <f aca="false">TEXT(B87,"yyyy-mm")</f>
        <v>2025-01</v>
      </c>
      <c r="D87" s="12" t="s">
        <v>39</v>
      </c>
      <c r="E87" s="12" t="s">
        <v>46</v>
      </c>
      <c r="F87" s="12" t="s">
        <v>47</v>
      </c>
      <c r="G87" s="14" t="n">
        <v>400</v>
      </c>
      <c r="H87" s="15" t="n">
        <v>18.28</v>
      </c>
      <c r="I87" s="15" t="n">
        <v>16.87</v>
      </c>
      <c r="J87" s="16" t="n">
        <f aca="false">G87*H87</f>
        <v>7312</v>
      </c>
      <c r="K87" s="16" t="n">
        <f aca="false">(H87-I87)*G87</f>
        <v>564</v>
      </c>
      <c r="L87" s="17" t="n">
        <f aca="false">IF(I87=0,0,H87/I87-1)</f>
        <v>0.0835803200948428</v>
      </c>
      <c r="M87" s="14" t="n">
        <v>1</v>
      </c>
      <c r="N87" s="18" t="n">
        <v>0.01</v>
      </c>
    </row>
    <row r="88" customFormat="false" ht="15" hidden="false" customHeight="false" outlineLevel="0" collapsed="false">
      <c r="A88" s="12" t="s">
        <v>147</v>
      </c>
      <c r="B88" s="13" t="n">
        <v>45687</v>
      </c>
      <c r="C88" s="12" t="str">
        <f aca="false">TEXT(B88,"yyyy-mm")</f>
        <v>2025-01</v>
      </c>
      <c r="D88" s="12" t="s">
        <v>80</v>
      </c>
      <c r="E88" s="12" t="s">
        <v>81</v>
      </c>
      <c r="F88" s="12" t="s">
        <v>82</v>
      </c>
      <c r="G88" s="14" t="n">
        <v>1200</v>
      </c>
      <c r="H88" s="15" t="n">
        <v>18.37</v>
      </c>
      <c r="I88" s="15" t="n">
        <v>19.22</v>
      </c>
      <c r="J88" s="16" t="n">
        <f aca="false">G88*H88</f>
        <v>22044</v>
      </c>
      <c r="K88" s="16" t="n">
        <f aca="false">(H88-I88)*G88</f>
        <v>-1020</v>
      </c>
      <c r="L88" s="17" t="n">
        <f aca="false">IF(I88=0,0,H88/I88-1)</f>
        <v>-0.0442247658688865</v>
      </c>
      <c r="M88" s="14" t="n">
        <v>1</v>
      </c>
      <c r="N88" s="18" t="n">
        <v>0.05</v>
      </c>
    </row>
    <row r="89" customFormat="false" ht="15" hidden="false" customHeight="false" outlineLevel="0" collapsed="false">
      <c r="A89" s="12" t="s">
        <v>148</v>
      </c>
      <c r="B89" s="13" t="n">
        <v>45687</v>
      </c>
      <c r="C89" s="12" t="str">
        <f aca="false">TEXT(B89,"yyyy-mm")</f>
        <v>2025-01</v>
      </c>
      <c r="D89" s="12" t="s">
        <v>80</v>
      </c>
      <c r="E89" s="12" t="s">
        <v>81</v>
      </c>
      <c r="F89" s="12" t="s">
        <v>82</v>
      </c>
      <c r="G89" s="14" t="n">
        <v>800</v>
      </c>
      <c r="H89" s="15" t="n">
        <v>19.39</v>
      </c>
      <c r="I89" s="15" t="n">
        <v>20.26</v>
      </c>
      <c r="J89" s="16" t="n">
        <f aca="false">G89*H89</f>
        <v>15512</v>
      </c>
      <c r="K89" s="16" t="n">
        <f aca="false">(H89-I89)*G89</f>
        <v>-696.000000000001</v>
      </c>
      <c r="L89" s="17" t="n">
        <f aca="false">IF(I89=0,0,H89/I89-1)</f>
        <v>-0.0429417571569596</v>
      </c>
      <c r="M89" s="14" t="n">
        <v>1</v>
      </c>
      <c r="N89" s="18" t="n">
        <v>0.027</v>
      </c>
    </row>
    <row r="90" customFormat="false" ht="15" hidden="false" customHeight="false" outlineLevel="0" collapsed="false">
      <c r="A90" s="12" t="s">
        <v>149</v>
      </c>
      <c r="B90" s="13" t="n">
        <v>45688</v>
      </c>
      <c r="C90" s="12" t="str">
        <f aca="false">TEXT(B90,"yyyy-mm")</f>
        <v>2025-01</v>
      </c>
      <c r="D90" s="12" t="s">
        <v>53</v>
      </c>
      <c r="E90" s="12" t="s">
        <v>49</v>
      </c>
      <c r="F90" s="12" t="s">
        <v>50</v>
      </c>
      <c r="G90" s="14" t="n">
        <v>400</v>
      </c>
      <c r="H90" s="15" t="n">
        <v>13.03</v>
      </c>
      <c r="I90" s="15" t="n">
        <v>13.41</v>
      </c>
      <c r="J90" s="16" t="n">
        <f aca="false">G90*H90</f>
        <v>5212</v>
      </c>
      <c r="K90" s="16" t="n">
        <f aca="false">(H90-I90)*G90</f>
        <v>-152</v>
      </c>
      <c r="L90" s="17" t="n">
        <f aca="false">IF(I90=0,0,H90/I90-1)</f>
        <v>-0.0283370618941089</v>
      </c>
      <c r="M90" s="14" t="n">
        <v>1</v>
      </c>
      <c r="N90" s="18" t="n">
        <v>0.031</v>
      </c>
    </row>
    <row r="91" customFormat="false" ht="15" hidden="false" customHeight="false" outlineLevel="0" collapsed="false">
      <c r="A91" s="12" t="s">
        <v>150</v>
      </c>
      <c r="B91" s="13" t="n">
        <v>45688</v>
      </c>
      <c r="C91" s="12" t="str">
        <f aca="false">TEXT(B91,"yyyy-mm")</f>
        <v>2025-01</v>
      </c>
      <c r="D91" s="12" t="s">
        <v>80</v>
      </c>
      <c r="E91" s="12" t="s">
        <v>76</v>
      </c>
      <c r="F91" s="12" t="s">
        <v>77</v>
      </c>
      <c r="G91" s="14" t="n">
        <v>600</v>
      </c>
      <c r="H91" s="15" t="n">
        <v>19.52</v>
      </c>
      <c r="I91" s="15" t="n">
        <v>19.83</v>
      </c>
      <c r="J91" s="16" t="n">
        <f aca="false">G91*H91</f>
        <v>11712</v>
      </c>
      <c r="K91" s="16" t="n">
        <f aca="false">(H91-I91)*G91</f>
        <v>-185.999999999999</v>
      </c>
      <c r="L91" s="17" t="n">
        <f aca="false">IF(I91=0,0,H91/I91-1)</f>
        <v>-0.015632879475542</v>
      </c>
      <c r="M91" s="14" t="n">
        <v>1</v>
      </c>
      <c r="N91" s="18" t="n">
        <v>0.029</v>
      </c>
    </row>
    <row r="92" customFormat="false" ht="15" hidden="false" customHeight="false" outlineLevel="0" collapsed="false">
      <c r="A92" s="12" t="s">
        <v>151</v>
      </c>
      <c r="B92" s="13" t="n">
        <v>45688</v>
      </c>
      <c r="C92" s="12" t="str">
        <f aca="false">TEXT(B92,"yyyy-mm")</f>
        <v>2025-01</v>
      </c>
      <c r="D92" s="12" t="s">
        <v>58</v>
      </c>
      <c r="E92" s="12" t="s">
        <v>40</v>
      </c>
      <c r="F92" s="12" t="s">
        <v>41</v>
      </c>
      <c r="G92" s="14" t="n">
        <v>1200</v>
      </c>
      <c r="H92" s="15" t="n">
        <v>24.52</v>
      </c>
      <c r="I92" s="15" t="n">
        <v>24.16</v>
      </c>
      <c r="J92" s="16" t="n">
        <f aca="false">G92*H92</f>
        <v>29424</v>
      </c>
      <c r="K92" s="16" t="n">
        <f aca="false">(H92-I92)*G92</f>
        <v>431.999999999999</v>
      </c>
      <c r="L92" s="17" t="n">
        <f aca="false">IF(I92=0,0,H92/I92-1)</f>
        <v>0.0149006622516557</v>
      </c>
      <c r="M92" s="14" t="n">
        <v>1</v>
      </c>
      <c r="N92" s="18" t="n">
        <v>0.023</v>
      </c>
    </row>
    <row r="93" customFormat="false" ht="15" hidden="false" customHeight="false" outlineLevel="0" collapsed="false">
      <c r="A93" s="12" t="s">
        <v>152</v>
      </c>
      <c r="B93" s="13" t="n">
        <v>45689</v>
      </c>
      <c r="C93" s="12" t="str">
        <f aca="false">TEXT(B93,"yyyy-mm")</f>
        <v>2025-02</v>
      </c>
      <c r="D93" s="12" t="s">
        <v>75</v>
      </c>
      <c r="E93" s="12" t="s">
        <v>49</v>
      </c>
      <c r="F93" s="12" t="s">
        <v>50</v>
      </c>
      <c r="G93" s="14" t="n">
        <v>2000</v>
      </c>
      <c r="H93" s="15" t="n">
        <v>21.97</v>
      </c>
      <c r="I93" s="15" t="n">
        <v>21.58</v>
      </c>
      <c r="J93" s="16" t="n">
        <f aca="false">G93*H93</f>
        <v>43940</v>
      </c>
      <c r="K93" s="16" t="n">
        <f aca="false">(H93-I93)*G93</f>
        <v>780.000000000001</v>
      </c>
      <c r="L93" s="17" t="n">
        <f aca="false">IF(I93=0,0,H93/I93-1)</f>
        <v>0.0180722891566265</v>
      </c>
      <c r="M93" s="14" t="n">
        <v>0</v>
      </c>
      <c r="N93" s="18" t="n">
        <v>0.031</v>
      </c>
    </row>
    <row r="94" customFormat="false" ht="15" hidden="false" customHeight="false" outlineLevel="0" collapsed="false">
      <c r="A94" s="12" t="s">
        <v>153</v>
      </c>
      <c r="B94" s="13" t="n">
        <v>45689</v>
      </c>
      <c r="C94" s="12" t="str">
        <f aca="false">TEXT(B94,"yyyy-mm")</f>
        <v>2025-02</v>
      </c>
      <c r="D94" s="12" t="s">
        <v>80</v>
      </c>
      <c r="E94" s="12" t="s">
        <v>81</v>
      </c>
      <c r="F94" s="12" t="s">
        <v>82</v>
      </c>
      <c r="G94" s="14" t="n">
        <v>1200</v>
      </c>
      <c r="H94" s="15" t="n">
        <v>20.74</v>
      </c>
      <c r="I94" s="15" t="n">
        <v>21.01</v>
      </c>
      <c r="J94" s="16" t="n">
        <f aca="false">G94*H94</f>
        <v>24888</v>
      </c>
      <c r="K94" s="16" t="n">
        <f aca="false">(H94-I94)*G94</f>
        <v>-324.000000000004</v>
      </c>
      <c r="L94" s="17" t="n">
        <f aca="false">IF(I94=0,0,H94/I94-1)</f>
        <v>-0.0128510233222277</v>
      </c>
      <c r="M94" s="14" t="n">
        <v>1</v>
      </c>
      <c r="N94" s="18" t="n">
        <v>0.021</v>
      </c>
    </row>
    <row r="95" customFormat="false" ht="15" hidden="false" customHeight="false" outlineLevel="0" collapsed="false">
      <c r="A95" s="12" t="s">
        <v>154</v>
      </c>
      <c r="B95" s="13" t="n">
        <v>45690</v>
      </c>
      <c r="C95" s="12" t="str">
        <f aca="false">TEXT(B95,"yyyy-mm")</f>
        <v>2025-02</v>
      </c>
      <c r="D95" s="12" t="s">
        <v>111</v>
      </c>
      <c r="E95" s="12" t="s">
        <v>92</v>
      </c>
      <c r="F95" s="12" t="s">
        <v>93</v>
      </c>
      <c r="G95" s="14" t="n">
        <v>800</v>
      </c>
      <c r="H95" s="15" t="n">
        <v>17.36</v>
      </c>
      <c r="I95" s="15" t="n">
        <v>18</v>
      </c>
      <c r="J95" s="16" t="n">
        <f aca="false">G95*H95</f>
        <v>13888</v>
      </c>
      <c r="K95" s="16" t="n">
        <f aca="false">(H95-I95)*G95</f>
        <v>-512.000000000001</v>
      </c>
      <c r="L95" s="17" t="n">
        <f aca="false">IF(I95=0,0,H95/I95-1)</f>
        <v>-0.0355555555555556</v>
      </c>
      <c r="M95" s="14" t="n">
        <v>1</v>
      </c>
      <c r="N95" s="18" t="n">
        <v>0.06</v>
      </c>
    </row>
    <row r="96" customFormat="false" ht="15" hidden="false" customHeight="false" outlineLevel="0" collapsed="false">
      <c r="A96" s="12" t="s">
        <v>155</v>
      </c>
      <c r="B96" s="13" t="n">
        <v>45691</v>
      </c>
      <c r="C96" s="12" t="str">
        <f aca="false">TEXT(B96,"yyyy-mm")</f>
        <v>2025-02</v>
      </c>
      <c r="D96" s="12" t="s">
        <v>39</v>
      </c>
      <c r="E96" s="12" t="s">
        <v>46</v>
      </c>
      <c r="F96" s="12" t="s">
        <v>47</v>
      </c>
      <c r="G96" s="14" t="n">
        <v>1000</v>
      </c>
      <c r="H96" s="15" t="n">
        <v>18.67</v>
      </c>
      <c r="I96" s="15" t="n">
        <v>17.56</v>
      </c>
      <c r="J96" s="16" t="n">
        <f aca="false">G96*H96</f>
        <v>18670</v>
      </c>
      <c r="K96" s="16" t="n">
        <f aca="false">(H96-I96)*G96</f>
        <v>1110</v>
      </c>
      <c r="L96" s="17" t="n">
        <f aca="false">IF(I96=0,0,H96/I96-1)</f>
        <v>0.0632118451025059</v>
      </c>
      <c r="M96" s="14" t="n">
        <v>1</v>
      </c>
      <c r="N96" s="18" t="n">
        <v>0.007</v>
      </c>
    </row>
    <row r="97" customFormat="false" ht="15" hidden="false" customHeight="false" outlineLevel="0" collapsed="false">
      <c r="A97" s="12" t="s">
        <v>156</v>
      </c>
      <c r="B97" s="13" t="n">
        <v>45691</v>
      </c>
      <c r="C97" s="12" t="str">
        <f aca="false">TEXT(B97,"yyyy-mm")</f>
        <v>2025-02</v>
      </c>
      <c r="D97" s="12" t="s">
        <v>39</v>
      </c>
      <c r="E97" s="12" t="s">
        <v>46</v>
      </c>
      <c r="F97" s="12" t="s">
        <v>47</v>
      </c>
      <c r="G97" s="14" t="n">
        <v>800</v>
      </c>
      <c r="H97" s="15" t="n">
        <v>18.89</v>
      </c>
      <c r="I97" s="15" t="n">
        <v>17.58</v>
      </c>
      <c r="J97" s="16" t="n">
        <f aca="false">G97*H97</f>
        <v>15112</v>
      </c>
      <c r="K97" s="16" t="n">
        <f aca="false">(H97-I97)*G97</f>
        <v>1048</v>
      </c>
      <c r="L97" s="17" t="n">
        <f aca="false">IF(I97=0,0,H97/I97-1)</f>
        <v>0.0745164960182025</v>
      </c>
      <c r="M97" s="14" t="n">
        <v>1</v>
      </c>
      <c r="N97" s="18" t="n">
        <v>0.007</v>
      </c>
    </row>
    <row r="98" customFormat="false" ht="15" hidden="false" customHeight="false" outlineLevel="0" collapsed="false">
      <c r="A98" s="12" t="s">
        <v>157</v>
      </c>
      <c r="B98" s="13" t="n">
        <v>45691</v>
      </c>
      <c r="C98" s="12" t="str">
        <f aca="false">TEXT(B98,"yyyy-mm")</f>
        <v>2025-02</v>
      </c>
      <c r="D98" s="12" t="s">
        <v>58</v>
      </c>
      <c r="E98" s="12" t="s">
        <v>40</v>
      </c>
      <c r="F98" s="12" t="s">
        <v>41</v>
      </c>
      <c r="G98" s="14" t="n">
        <v>1000</v>
      </c>
      <c r="H98" s="15" t="n">
        <v>26.65</v>
      </c>
      <c r="I98" s="15" t="n">
        <v>25.86</v>
      </c>
      <c r="J98" s="16" t="n">
        <f aca="false">G98*H98</f>
        <v>26650</v>
      </c>
      <c r="K98" s="16" t="n">
        <f aca="false">(H98-I98)*G98</f>
        <v>789.999999999999</v>
      </c>
      <c r="L98" s="17" t="n">
        <f aca="false">IF(I98=0,0,H98/I98-1)</f>
        <v>0.0305491105955142</v>
      </c>
      <c r="M98" s="14" t="n">
        <v>1</v>
      </c>
      <c r="N98" s="18" t="n">
        <v>0.015</v>
      </c>
    </row>
    <row r="99" customFormat="false" ht="15" hidden="false" customHeight="false" outlineLevel="0" collapsed="false">
      <c r="A99" s="12" t="s">
        <v>158</v>
      </c>
      <c r="B99" s="13" t="n">
        <v>45691</v>
      </c>
      <c r="C99" s="12" t="str">
        <f aca="false">TEXT(B99,"yyyy-mm")</f>
        <v>2025-02</v>
      </c>
      <c r="D99" s="12" t="s">
        <v>35</v>
      </c>
      <c r="E99" s="12" t="s">
        <v>43</v>
      </c>
      <c r="F99" s="12" t="s">
        <v>44</v>
      </c>
      <c r="G99" s="14" t="n">
        <v>2400</v>
      </c>
      <c r="H99" s="15" t="n">
        <v>17.03</v>
      </c>
      <c r="I99" s="15" t="n">
        <v>15.99</v>
      </c>
      <c r="J99" s="16" t="n">
        <f aca="false">G99*H99</f>
        <v>40872</v>
      </c>
      <c r="K99" s="16" t="n">
        <f aca="false">(H99-I99)*G99</f>
        <v>2496</v>
      </c>
      <c r="L99" s="17" t="n">
        <f aca="false">IF(I99=0,0,H99/I99-1)</f>
        <v>0.0650406504065042</v>
      </c>
      <c r="M99" s="14" t="n">
        <v>1</v>
      </c>
      <c r="N99" s="18" t="n">
        <v>0.013</v>
      </c>
    </row>
    <row r="100" customFormat="false" ht="15" hidden="false" customHeight="false" outlineLevel="0" collapsed="false">
      <c r="A100" s="12" t="s">
        <v>159</v>
      </c>
      <c r="B100" s="13" t="n">
        <v>45691</v>
      </c>
      <c r="C100" s="12" t="str">
        <f aca="false">TEXT(B100,"yyyy-mm")</f>
        <v>2025-02</v>
      </c>
      <c r="D100" s="12" t="s">
        <v>61</v>
      </c>
      <c r="E100" s="12" t="s">
        <v>43</v>
      </c>
      <c r="F100" s="12" t="s">
        <v>44</v>
      </c>
      <c r="G100" s="14" t="n">
        <v>2000</v>
      </c>
      <c r="H100" s="15" t="n">
        <v>14.09</v>
      </c>
      <c r="I100" s="15" t="n">
        <v>13.98</v>
      </c>
      <c r="J100" s="16" t="n">
        <f aca="false">G100*H100</f>
        <v>28180</v>
      </c>
      <c r="K100" s="16" t="n">
        <f aca="false">(H100-I100)*G100</f>
        <v>219.999999999999</v>
      </c>
      <c r="L100" s="17" t="n">
        <f aca="false">IF(I100=0,0,H100/I100-1)</f>
        <v>0.00786838340486407</v>
      </c>
      <c r="M100" s="14" t="n">
        <v>1</v>
      </c>
      <c r="N100" s="18" t="n">
        <v>0.009</v>
      </c>
    </row>
    <row r="101" customFormat="false" ht="15" hidden="false" customHeight="false" outlineLevel="0" collapsed="false">
      <c r="A101" s="12" t="s">
        <v>160</v>
      </c>
      <c r="B101" s="13" t="n">
        <v>45691</v>
      </c>
      <c r="C101" s="12" t="str">
        <f aca="false">TEXT(B101,"yyyy-mm")</f>
        <v>2025-02</v>
      </c>
      <c r="D101" s="12" t="s">
        <v>61</v>
      </c>
      <c r="E101" s="12" t="s">
        <v>43</v>
      </c>
      <c r="F101" s="12" t="s">
        <v>44</v>
      </c>
      <c r="G101" s="14" t="n">
        <v>400</v>
      </c>
      <c r="H101" s="15" t="n">
        <v>14.02</v>
      </c>
      <c r="I101" s="15" t="n">
        <v>14.01</v>
      </c>
      <c r="J101" s="16" t="n">
        <f aca="false">G101*H101</f>
        <v>5608</v>
      </c>
      <c r="K101" s="16" t="n">
        <f aca="false">(H101-I101)*G101</f>
        <v>3.99999999999991</v>
      </c>
      <c r="L101" s="17" t="n">
        <f aca="false">IF(I101=0,0,H101/I101-1)</f>
        <v>0.000713775874375378</v>
      </c>
      <c r="M101" s="14" t="n">
        <v>1</v>
      </c>
      <c r="N101" s="18" t="n">
        <v>0.008</v>
      </c>
    </row>
    <row r="102" customFormat="false" ht="15" hidden="false" customHeight="false" outlineLevel="0" collapsed="false">
      <c r="A102" s="12" t="s">
        <v>161</v>
      </c>
      <c r="B102" s="13" t="n">
        <v>45692</v>
      </c>
      <c r="C102" s="12" t="str">
        <f aca="false">TEXT(B102,"yyyy-mm")</f>
        <v>2025-02</v>
      </c>
      <c r="D102" s="12" t="s">
        <v>35</v>
      </c>
      <c r="E102" s="12" t="s">
        <v>43</v>
      </c>
      <c r="F102" s="12" t="s">
        <v>44</v>
      </c>
      <c r="G102" s="14" t="n">
        <v>400</v>
      </c>
      <c r="H102" s="15" t="n">
        <v>15.6</v>
      </c>
      <c r="I102" s="15" t="n">
        <v>15.48</v>
      </c>
      <c r="J102" s="16" t="n">
        <f aca="false">G102*H102</f>
        <v>6240</v>
      </c>
      <c r="K102" s="16" t="n">
        <f aca="false">(H102-I102)*G102</f>
        <v>47.9999999999997</v>
      </c>
      <c r="L102" s="17" t="n">
        <f aca="false">IF(I102=0,0,H102/I102-1)</f>
        <v>0.00775193798449614</v>
      </c>
      <c r="M102" s="14" t="n">
        <v>1</v>
      </c>
      <c r="N102" s="18" t="n">
        <v>0.019</v>
      </c>
    </row>
    <row r="103" customFormat="false" ht="15" hidden="false" customHeight="false" outlineLevel="0" collapsed="false">
      <c r="A103" s="12" t="s">
        <v>162</v>
      </c>
      <c r="B103" s="13" t="n">
        <v>45692</v>
      </c>
      <c r="C103" s="12" t="str">
        <f aca="false">TEXT(B103,"yyyy-mm")</f>
        <v>2025-02</v>
      </c>
      <c r="D103" s="12" t="s">
        <v>35</v>
      </c>
      <c r="E103" s="12" t="s">
        <v>36</v>
      </c>
      <c r="F103" s="12" t="s">
        <v>37</v>
      </c>
      <c r="G103" s="14" t="n">
        <v>800</v>
      </c>
      <c r="H103" s="15" t="n">
        <v>15.2</v>
      </c>
      <c r="I103" s="15" t="n">
        <v>15.74</v>
      </c>
      <c r="J103" s="16" t="n">
        <f aca="false">G103*H103</f>
        <v>12160</v>
      </c>
      <c r="K103" s="16" t="n">
        <f aca="false">(H103-I103)*G103</f>
        <v>-432.000000000001</v>
      </c>
      <c r="L103" s="17" t="n">
        <f aca="false">IF(I103=0,0,H103/I103-1)</f>
        <v>-0.03430749682338</v>
      </c>
      <c r="M103" s="14" t="n">
        <v>1</v>
      </c>
      <c r="N103" s="18" t="n">
        <v>0.013</v>
      </c>
    </row>
    <row r="104" customFormat="false" ht="15" hidden="false" customHeight="false" outlineLevel="0" collapsed="false">
      <c r="A104" s="12" t="s">
        <v>163</v>
      </c>
      <c r="B104" s="13" t="n">
        <v>45692</v>
      </c>
      <c r="C104" s="12" t="str">
        <f aca="false">TEXT(B104,"yyyy-mm")</f>
        <v>2025-02</v>
      </c>
      <c r="D104" s="12" t="s">
        <v>61</v>
      </c>
      <c r="E104" s="12" t="s">
        <v>36</v>
      </c>
      <c r="F104" s="12" t="s">
        <v>37</v>
      </c>
      <c r="G104" s="14" t="n">
        <v>2000</v>
      </c>
      <c r="H104" s="15" t="n">
        <v>13.74</v>
      </c>
      <c r="I104" s="15" t="n">
        <v>13.36</v>
      </c>
      <c r="J104" s="16" t="n">
        <f aca="false">G104*H104</f>
        <v>27480</v>
      </c>
      <c r="K104" s="16" t="n">
        <f aca="false">(H104-I104)*G104</f>
        <v>760.000000000002</v>
      </c>
      <c r="L104" s="17" t="n">
        <f aca="false">IF(I104=0,0,H104/I104-1)</f>
        <v>0.0284431137724552</v>
      </c>
      <c r="M104" s="14" t="n">
        <v>1</v>
      </c>
      <c r="N104" s="18" t="n">
        <v>0.012</v>
      </c>
    </row>
    <row r="105" customFormat="false" ht="15" hidden="false" customHeight="false" outlineLevel="0" collapsed="false">
      <c r="A105" s="12" t="s">
        <v>164</v>
      </c>
      <c r="B105" s="13" t="n">
        <v>45693</v>
      </c>
      <c r="C105" s="12" t="str">
        <f aca="false">TEXT(B105,"yyyy-mm")</f>
        <v>2025-02</v>
      </c>
      <c r="D105" s="12" t="s">
        <v>53</v>
      </c>
      <c r="E105" s="12" t="s">
        <v>54</v>
      </c>
      <c r="F105" s="12" t="s">
        <v>55</v>
      </c>
      <c r="G105" s="14" t="n">
        <v>200</v>
      </c>
      <c r="H105" s="15" t="n">
        <v>13.87</v>
      </c>
      <c r="I105" s="15" t="n">
        <v>13.82</v>
      </c>
      <c r="J105" s="16" t="n">
        <f aca="false">G105*H105</f>
        <v>2774</v>
      </c>
      <c r="K105" s="16" t="n">
        <f aca="false">(H105-I105)*G105</f>
        <v>9.99999999999979</v>
      </c>
      <c r="L105" s="17" t="n">
        <f aca="false">IF(I105=0,0,H105/I105-1)</f>
        <v>0.00361794500723578</v>
      </c>
      <c r="M105" s="14" t="n">
        <v>1</v>
      </c>
      <c r="N105" s="18" t="n">
        <v>0.011</v>
      </c>
    </row>
    <row r="106" customFormat="false" ht="15" hidden="false" customHeight="false" outlineLevel="0" collapsed="false">
      <c r="A106" s="12" t="s">
        <v>165</v>
      </c>
      <c r="B106" s="13" t="n">
        <v>45693</v>
      </c>
      <c r="C106" s="12" t="str">
        <f aca="false">TEXT(B106,"yyyy-mm")</f>
        <v>2025-02</v>
      </c>
      <c r="D106" s="12" t="s">
        <v>61</v>
      </c>
      <c r="E106" s="12" t="s">
        <v>43</v>
      </c>
      <c r="F106" s="12" t="s">
        <v>44</v>
      </c>
      <c r="G106" s="14" t="n">
        <v>200</v>
      </c>
      <c r="H106" s="15" t="n">
        <v>14.24</v>
      </c>
      <c r="I106" s="15" t="n">
        <v>14.05</v>
      </c>
      <c r="J106" s="16" t="n">
        <f aca="false">G106*H106</f>
        <v>2848</v>
      </c>
      <c r="K106" s="16" t="n">
        <f aca="false">(H106-I106)*G106</f>
        <v>37.9999999999999</v>
      </c>
      <c r="L106" s="17" t="n">
        <f aca="false">IF(I106=0,0,H106/I106-1)</f>
        <v>0.0135231316725979</v>
      </c>
      <c r="M106" s="14" t="n">
        <v>1</v>
      </c>
      <c r="N106" s="18" t="n">
        <v>0.015</v>
      </c>
    </row>
    <row r="107" customFormat="false" ht="15" hidden="false" customHeight="false" outlineLevel="0" collapsed="false">
      <c r="A107" s="12" t="s">
        <v>166</v>
      </c>
      <c r="B107" s="13" t="n">
        <v>45693</v>
      </c>
      <c r="C107" s="12" t="str">
        <f aca="false">TEXT(B107,"yyyy-mm")</f>
        <v>2025-02</v>
      </c>
      <c r="D107" s="12" t="s">
        <v>111</v>
      </c>
      <c r="E107" s="12" t="s">
        <v>76</v>
      </c>
      <c r="F107" s="12" t="s">
        <v>77</v>
      </c>
      <c r="G107" s="14" t="n">
        <v>800</v>
      </c>
      <c r="H107" s="15" t="n">
        <v>18.32</v>
      </c>
      <c r="I107" s="15" t="n">
        <v>18.06</v>
      </c>
      <c r="J107" s="16" t="n">
        <f aca="false">G107*H107</f>
        <v>14656</v>
      </c>
      <c r="K107" s="16" t="n">
        <f aca="false">(H107-I107)*G107</f>
        <v>208.000000000001</v>
      </c>
      <c r="L107" s="17" t="n">
        <f aca="false">IF(I107=0,0,H107/I107-1)</f>
        <v>0.0143964562569214</v>
      </c>
      <c r="M107" s="14" t="n">
        <v>1</v>
      </c>
      <c r="N107" s="18" t="n">
        <v>0.018</v>
      </c>
    </row>
    <row r="108" customFormat="false" ht="15" hidden="false" customHeight="false" outlineLevel="0" collapsed="false">
      <c r="A108" s="12" t="s">
        <v>167</v>
      </c>
      <c r="B108" s="13" t="n">
        <v>45694</v>
      </c>
      <c r="C108" s="12" t="str">
        <f aca="false">TEXT(B108,"yyyy-mm")</f>
        <v>2025-02</v>
      </c>
      <c r="D108" s="12" t="s">
        <v>39</v>
      </c>
      <c r="E108" s="12" t="s">
        <v>46</v>
      </c>
      <c r="F108" s="12" t="s">
        <v>47</v>
      </c>
      <c r="G108" s="14" t="n">
        <v>400</v>
      </c>
      <c r="H108" s="15" t="n">
        <v>18.02</v>
      </c>
      <c r="I108" s="15" t="n">
        <v>17.38</v>
      </c>
      <c r="J108" s="16" t="n">
        <f aca="false">G108*H108</f>
        <v>7208</v>
      </c>
      <c r="K108" s="16" t="n">
        <f aca="false">(H108-I108)*G108</f>
        <v>256</v>
      </c>
      <c r="L108" s="17" t="n">
        <f aca="false">IF(I108=0,0,H108/I108-1)</f>
        <v>0.0368239355581128</v>
      </c>
      <c r="M108" s="14" t="n">
        <v>1</v>
      </c>
      <c r="N108" s="18" t="n">
        <v>0.01</v>
      </c>
    </row>
    <row r="109" customFormat="false" ht="15" hidden="false" customHeight="false" outlineLevel="0" collapsed="false">
      <c r="A109" s="12" t="s">
        <v>168</v>
      </c>
      <c r="B109" s="13" t="n">
        <v>45694</v>
      </c>
      <c r="C109" s="12" t="str">
        <f aca="false">TEXT(B109,"yyyy-mm")</f>
        <v>2025-02</v>
      </c>
      <c r="D109" s="12" t="s">
        <v>39</v>
      </c>
      <c r="E109" s="12" t="s">
        <v>40</v>
      </c>
      <c r="F109" s="12" t="s">
        <v>41</v>
      </c>
      <c r="G109" s="14" t="n">
        <v>600</v>
      </c>
      <c r="H109" s="15" t="n">
        <v>17.82</v>
      </c>
      <c r="I109" s="15" t="n">
        <v>17</v>
      </c>
      <c r="J109" s="16" t="n">
        <f aca="false">G109*H109</f>
        <v>10692</v>
      </c>
      <c r="K109" s="16" t="n">
        <f aca="false">(H109-I109)*G109</f>
        <v>492</v>
      </c>
      <c r="L109" s="17" t="n">
        <f aca="false">IF(I109=0,0,H109/I109-1)</f>
        <v>0.0482352941176472</v>
      </c>
      <c r="M109" s="14" t="n">
        <v>1</v>
      </c>
      <c r="N109" s="18" t="n">
        <v>0.014</v>
      </c>
    </row>
    <row r="110" customFormat="false" ht="15" hidden="false" customHeight="false" outlineLevel="0" collapsed="false">
      <c r="A110" s="12" t="s">
        <v>169</v>
      </c>
      <c r="B110" s="13" t="n">
        <v>45694</v>
      </c>
      <c r="C110" s="12" t="str">
        <f aca="false">TEXT(B110,"yyyy-mm")</f>
        <v>2025-02</v>
      </c>
      <c r="D110" s="12" t="s">
        <v>35</v>
      </c>
      <c r="E110" s="12" t="s">
        <v>43</v>
      </c>
      <c r="F110" s="12" t="s">
        <v>44</v>
      </c>
      <c r="G110" s="14" t="n">
        <v>2000</v>
      </c>
      <c r="H110" s="15" t="n">
        <v>15.49</v>
      </c>
      <c r="I110" s="15" t="n">
        <v>15.29</v>
      </c>
      <c r="J110" s="16" t="n">
        <f aca="false">G110*H110</f>
        <v>30980</v>
      </c>
      <c r="K110" s="16" t="n">
        <f aca="false">(H110-I110)*G110</f>
        <v>400.000000000002</v>
      </c>
      <c r="L110" s="17" t="n">
        <f aca="false">IF(I110=0,0,H110/I110-1)</f>
        <v>0.0130804447351212</v>
      </c>
      <c r="M110" s="14" t="n">
        <v>1</v>
      </c>
      <c r="N110" s="18" t="n">
        <v>0.016</v>
      </c>
    </row>
    <row r="111" customFormat="false" ht="15" hidden="false" customHeight="false" outlineLevel="0" collapsed="false">
      <c r="A111" s="12" t="s">
        <v>170</v>
      </c>
      <c r="B111" s="13" t="n">
        <v>45695</v>
      </c>
      <c r="C111" s="12" t="str">
        <f aca="false">TEXT(B111,"yyyy-mm")</f>
        <v>2025-02</v>
      </c>
      <c r="D111" s="12" t="s">
        <v>39</v>
      </c>
      <c r="E111" s="12" t="s">
        <v>46</v>
      </c>
      <c r="F111" s="12" t="s">
        <v>47</v>
      </c>
      <c r="G111" s="14" t="n">
        <v>400</v>
      </c>
      <c r="H111" s="15" t="n">
        <v>18.73</v>
      </c>
      <c r="I111" s="15" t="n">
        <v>17.65</v>
      </c>
      <c r="J111" s="16" t="n">
        <f aca="false">G111*H111</f>
        <v>7492</v>
      </c>
      <c r="K111" s="16" t="n">
        <f aca="false">(H111-I111)*G111</f>
        <v>432.000000000001</v>
      </c>
      <c r="L111" s="17" t="n">
        <f aca="false">IF(I111=0,0,H111/I111-1)</f>
        <v>0.0611898016997168</v>
      </c>
      <c r="M111" s="14" t="n">
        <v>1</v>
      </c>
      <c r="N111" s="18" t="n">
        <v>0.012</v>
      </c>
    </row>
    <row r="112" customFormat="false" ht="15" hidden="false" customHeight="false" outlineLevel="0" collapsed="false">
      <c r="A112" s="12" t="s">
        <v>171</v>
      </c>
      <c r="B112" s="13" t="n">
        <v>45695</v>
      </c>
      <c r="C112" s="12" t="str">
        <f aca="false">TEXT(B112,"yyyy-mm")</f>
        <v>2025-02</v>
      </c>
      <c r="D112" s="12" t="s">
        <v>61</v>
      </c>
      <c r="E112" s="12" t="s">
        <v>36</v>
      </c>
      <c r="F112" s="12" t="s">
        <v>37</v>
      </c>
      <c r="G112" s="14" t="n">
        <v>2000</v>
      </c>
      <c r="H112" s="15" t="n">
        <v>13.99</v>
      </c>
      <c r="I112" s="15" t="n">
        <v>13.77</v>
      </c>
      <c r="J112" s="16" t="n">
        <f aca="false">G112*H112</f>
        <v>27980</v>
      </c>
      <c r="K112" s="16" t="n">
        <f aca="false">(H112-I112)*G112</f>
        <v>440.000000000001</v>
      </c>
      <c r="L112" s="17" t="n">
        <f aca="false">IF(I112=0,0,H112/I112-1)</f>
        <v>0.0159767610748003</v>
      </c>
      <c r="M112" s="14" t="n">
        <v>1</v>
      </c>
      <c r="N112" s="18" t="n">
        <v>0.022</v>
      </c>
    </row>
    <row r="113" customFormat="false" ht="15" hidden="false" customHeight="false" outlineLevel="0" collapsed="false">
      <c r="A113" s="12" t="s">
        <v>172</v>
      </c>
      <c r="B113" s="13" t="n">
        <v>45696</v>
      </c>
      <c r="C113" s="12" t="str">
        <f aca="false">TEXT(B113,"yyyy-mm")</f>
        <v>2025-02</v>
      </c>
      <c r="D113" s="12" t="s">
        <v>35</v>
      </c>
      <c r="E113" s="12" t="s">
        <v>43</v>
      </c>
      <c r="F113" s="12" t="s">
        <v>44</v>
      </c>
      <c r="G113" s="14" t="n">
        <v>4000</v>
      </c>
      <c r="H113" s="15" t="n">
        <v>16.42</v>
      </c>
      <c r="I113" s="15" t="n">
        <v>15.43</v>
      </c>
      <c r="J113" s="16" t="n">
        <f aca="false">G113*H113</f>
        <v>65680</v>
      </c>
      <c r="K113" s="16" t="n">
        <f aca="false">(H113-I113)*G113</f>
        <v>3960.00000000001</v>
      </c>
      <c r="L113" s="17" t="n">
        <f aca="false">IF(I113=0,0,H113/I113-1)</f>
        <v>0.0641607258587169</v>
      </c>
      <c r="M113" s="14" t="n">
        <v>0</v>
      </c>
      <c r="N113" s="18" t="n">
        <v>0.009</v>
      </c>
    </row>
    <row r="114" customFormat="false" ht="15" hidden="false" customHeight="false" outlineLevel="0" collapsed="false">
      <c r="A114" s="12" t="s">
        <v>173</v>
      </c>
      <c r="B114" s="13" t="n">
        <v>45696</v>
      </c>
      <c r="C114" s="12" t="str">
        <f aca="false">TEXT(B114,"yyyy-mm")</f>
        <v>2025-02</v>
      </c>
      <c r="D114" s="12" t="s">
        <v>58</v>
      </c>
      <c r="E114" s="12" t="s">
        <v>59</v>
      </c>
      <c r="F114" s="12" t="s">
        <v>55</v>
      </c>
      <c r="G114" s="14" t="n">
        <v>400</v>
      </c>
      <c r="H114" s="15" t="n">
        <v>28.93</v>
      </c>
      <c r="I114" s="15" t="n">
        <v>26.91</v>
      </c>
      <c r="J114" s="16" t="n">
        <f aca="false">G114*H114</f>
        <v>11572</v>
      </c>
      <c r="K114" s="16" t="n">
        <f aca="false">(H114-I114)*G114</f>
        <v>808</v>
      </c>
      <c r="L114" s="17" t="n">
        <f aca="false">IF(I114=0,0,H114/I114-1)</f>
        <v>0.0750650315867707</v>
      </c>
      <c r="M114" s="14" t="n">
        <v>1</v>
      </c>
      <c r="N114" s="18" t="n">
        <v>0.021</v>
      </c>
    </row>
    <row r="115" customFormat="false" ht="15" hidden="false" customHeight="false" outlineLevel="0" collapsed="false">
      <c r="A115" s="12" t="s">
        <v>174</v>
      </c>
      <c r="B115" s="13" t="n">
        <v>45696</v>
      </c>
      <c r="C115" s="12" t="str">
        <f aca="false">TEXT(B115,"yyyy-mm")</f>
        <v>2025-02</v>
      </c>
      <c r="D115" s="12" t="s">
        <v>39</v>
      </c>
      <c r="E115" s="12" t="s">
        <v>46</v>
      </c>
      <c r="F115" s="12" t="s">
        <v>47</v>
      </c>
      <c r="G115" s="14" t="n">
        <v>200</v>
      </c>
      <c r="H115" s="15" t="n">
        <v>17.52</v>
      </c>
      <c r="I115" s="15" t="n">
        <v>16.81</v>
      </c>
      <c r="J115" s="16" t="n">
        <f aca="false">G115*H115</f>
        <v>3504</v>
      </c>
      <c r="K115" s="16" t="n">
        <f aca="false">(H115-I115)*G115</f>
        <v>142</v>
      </c>
      <c r="L115" s="17" t="n">
        <f aca="false">IF(I115=0,0,H115/I115-1)</f>
        <v>0.042236763831053</v>
      </c>
      <c r="M115" s="14" t="n">
        <v>1</v>
      </c>
      <c r="N115" s="18" t="n">
        <v>0.011</v>
      </c>
    </row>
    <row r="116" customFormat="false" ht="15" hidden="false" customHeight="false" outlineLevel="0" collapsed="false">
      <c r="A116" s="12" t="s">
        <v>175</v>
      </c>
      <c r="B116" s="13" t="n">
        <v>45697</v>
      </c>
      <c r="C116" s="12" t="str">
        <f aca="false">TEXT(B116,"yyyy-mm")</f>
        <v>2025-02</v>
      </c>
      <c r="D116" s="12" t="s">
        <v>75</v>
      </c>
      <c r="E116" s="12" t="s">
        <v>76</v>
      </c>
      <c r="F116" s="12" t="s">
        <v>77</v>
      </c>
      <c r="G116" s="14" t="n">
        <v>1000</v>
      </c>
      <c r="H116" s="15" t="n">
        <v>21.97</v>
      </c>
      <c r="I116" s="15" t="n">
        <v>22.12</v>
      </c>
      <c r="J116" s="16" t="n">
        <f aca="false">G116*H116</f>
        <v>21970</v>
      </c>
      <c r="K116" s="16" t="n">
        <f aca="false">(H116-I116)*G116</f>
        <v>-150.000000000002</v>
      </c>
      <c r="L116" s="17" t="n">
        <f aca="false">IF(I116=0,0,H116/I116-1)</f>
        <v>-0.00678119349005435</v>
      </c>
      <c r="M116" s="14" t="n">
        <v>1</v>
      </c>
      <c r="N116" s="18" t="n">
        <v>0.017</v>
      </c>
    </row>
    <row r="117" customFormat="false" ht="15" hidden="false" customHeight="false" outlineLevel="0" collapsed="false">
      <c r="A117" s="12" t="s">
        <v>176</v>
      </c>
      <c r="B117" s="13" t="n">
        <v>45697</v>
      </c>
      <c r="C117" s="12" t="str">
        <f aca="false">TEXT(B117,"yyyy-mm")</f>
        <v>2025-02</v>
      </c>
      <c r="D117" s="12" t="s">
        <v>61</v>
      </c>
      <c r="E117" s="12" t="s">
        <v>43</v>
      </c>
      <c r="F117" s="12" t="s">
        <v>44</v>
      </c>
      <c r="G117" s="14" t="n">
        <v>2000</v>
      </c>
      <c r="H117" s="15" t="n">
        <v>14.89</v>
      </c>
      <c r="I117" s="15" t="n">
        <v>13.93</v>
      </c>
      <c r="J117" s="16" t="n">
        <f aca="false">G117*H117</f>
        <v>29780</v>
      </c>
      <c r="K117" s="16" t="n">
        <f aca="false">(H117-I117)*G117</f>
        <v>1920</v>
      </c>
      <c r="L117" s="17" t="n">
        <f aca="false">IF(I117=0,0,H117/I117-1)</f>
        <v>0.0689160086145011</v>
      </c>
      <c r="M117" s="14" t="n">
        <v>1</v>
      </c>
      <c r="N117" s="18" t="n">
        <v>0.014</v>
      </c>
    </row>
    <row r="118" customFormat="false" ht="15" hidden="false" customHeight="false" outlineLevel="0" collapsed="false">
      <c r="A118" s="12" t="s">
        <v>177</v>
      </c>
      <c r="B118" s="13" t="n">
        <v>45697</v>
      </c>
      <c r="C118" s="12" t="str">
        <f aca="false">TEXT(B118,"yyyy-mm")</f>
        <v>2025-02</v>
      </c>
      <c r="D118" s="12" t="s">
        <v>61</v>
      </c>
      <c r="E118" s="12" t="s">
        <v>43</v>
      </c>
      <c r="F118" s="12" t="s">
        <v>44</v>
      </c>
      <c r="G118" s="14" t="n">
        <v>2000</v>
      </c>
      <c r="H118" s="15" t="n">
        <v>14.19</v>
      </c>
      <c r="I118" s="15" t="n">
        <v>13.43</v>
      </c>
      <c r="J118" s="16" t="n">
        <f aca="false">G118*H118</f>
        <v>28380</v>
      </c>
      <c r="K118" s="16" t="n">
        <f aca="false">(H118-I118)*G118</f>
        <v>1520</v>
      </c>
      <c r="L118" s="17" t="n">
        <f aca="false">IF(I118=0,0,H118/I118-1)</f>
        <v>0.0565897244973939</v>
      </c>
      <c r="M118" s="14" t="n">
        <v>1</v>
      </c>
      <c r="N118" s="18" t="n">
        <v>0.016</v>
      </c>
    </row>
    <row r="119" customFormat="false" ht="15" hidden="false" customHeight="false" outlineLevel="0" collapsed="false">
      <c r="A119" s="12" t="s">
        <v>178</v>
      </c>
      <c r="B119" s="13" t="n">
        <v>45697</v>
      </c>
      <c r="C119" s="12" t="str">
        <f aca="false">TEXT(B119,"yyyy-mm")</f>
        <v>2025-02</v>
      </c>
      <c r="D119" s="12" t="s">
        <v>35</v>
      </c>
      <c r="E119" s="12" t="s">
        <v>43</v>
      </c>
      <c r="F119" s="12" t="s">
        <v>44</v>
      </c>
      <c r="G119" s="14" t="n">
        <v>1200</v>
      </c>
      <c r="H119" s="15" t="n">
        <v>17.1</v>
      </c>
      <c r="I119" s="15" t="n">
        <v>16.11</v>
      </c>
      <c r="J119" s="16" t="n">
        <f aca="false">G119*H119</f>
        <v>20520</v>
      </c>
      <c r="K119" s="16" t="n">
        <f aca="false">(H119-I119)*G119</f>
        <v>1188</v>
      </c>
      <c r="L119" s="17" t="n">
        <f aca="false">IF(I119=0,0,H119/I119-1)</f>
        <v>0.0614525139664806</v>
      </c>
      <c r="M119" s="14" t="n">
        <v>1</v>
      </c>
      <c r="N119" s="18" t="n">
        <v>0.014</v>
      </c>
    </row>
    <row r="120" customFormat="false" ht="15" hidden="false" customHeight="false" outlineLevel="0" collapsed="false">
      <c r="A120" s="12" t="s">
        <v>179</v>
      </c>
      <c r="B120" s="13" t="n">
        <v>45697</v>
      </c>
      <c r="C120" s="12" t="str">
        <f aca="false">TEXT(B120,"yyyy-mm")</f>
        <v>2025-02</v>
      </c>
      <c r="D120" s="12" t="s">
        <v>39</v>
      </c>
      <c r="E120" s="12" t="s">
        <v>46</v>
      </c>
      <c r="F120" s="12" t="s">
        <v>47</v>
      </c>
      <c r="G120" s="14" t="n">
        <v>1600</v>
      </c>
      <c r="H120" s="15" t="n">
        <v>17.75</v>
      </c>
      <c r="I120" s="15" t="n">
        <v>16.98</v>
      </c>
      <c r="J120" s="16" t="n">
        <f aca="false">G120*H120</f>
        <v>28400</v>
      </c>
      <c r="K120" s="16" t="n">
        <f aca="false">(H120-I120)*G120</f>
        <v>1232</v>
      </c>
      <c r="L120" s="17" t="n">
        <f aca="false">IF(I120=0,0,H120/I120-1)</f>
        <v>0.0453474676089516</v>
      </c>
      <c r="M120" s="14" t="n">
        <v>1</v>
      </c>
      <c r="N120" s="18" t="n">
        <v>0.011</v>
      </c>
    </row>
    <row r="121" customFormat="false" ht="15" hidden="false" customHeight="false" outlineLevel="0" collapsed="false">
      <c r="A121" s="12" t="s">
        <v>180</v>
      </c>
      <c r="B121" s="13" t="n">
        <v>45698</v>
      </c>
      <c r="C121" s="12" t="str">
        <f aca="false">TEXT(B121,"yyyy-mm")</f>
        <v>2025-02</v>
      </c>
      <c r="D121" s="12" t="s">
        <v>35</v>
      </c>
      <c r="E121" s="12" t="s">
        <v>36</v>
      </c>
      <c r="F121" s="12" t="s">
        <v>37</v>
      </c>
      <c r="G121" s="14" t="n">
        <v>3200</v>
      </c>
      <c r="H121" s="15" t="n">
        <v>15.1</v>
      </c>
      <c r="I121" s="15" t="n">
        <v>15.69</v>
      </c>
      <c r="J121" s="16" t="n">
        <f aca="false">G121*H121</f>
        <v>48320</v>
      </c>
      <c r="K121" s="16" t="n">
        <f aca="false">(H121-I121)*G121</f>
        <v>-1888</v>
      </c>
      <c r="L121" s="17" t="n">
        <f aca="false">IF(I121=0,0,H121/I121-1)</f>
        <v>-0.0376035691523263</v>
      </c>
      <c r="M121" s="14" t="n">
        <v>1</v>
      </c>
      <c r="N121" s="18" t="n">
        <v>0.021</v>
      </c>
    </row>
    <row r="122" customFormat="false" ht="15" hidden="false" customHeight="false" outlineLevel="0" collapsed="false">
      <c r="A122" s="12" t="s">
        <v>181</v>
      </c>
      <c r="B122" s="13" t="n">
        <v>45699</v>
      </c>
      <c r="C122" s="12" t="str">
        <f aca="false">TEXT(B122,"yyyy-mm")</f>
        <v>2025-02</v>
      </c>
      <c r="D122" s="12" t="s">
        <v>39</v>
      </c>
      <c r="E122" s="12" t="s">
        <v>40</v>
      </c>
      <c r="F122" s="12" t="s">
        <v>41</v>
      </c>
      <c r="G122" s="14" t="n">
        <v>800</v>
      </c>
      <c r="H122" s="15" t="n">
        <v>16.86</v>
      </c>
      <c r="I122" s="15" t="n">
        <v>16.93</v>
      </c>
      <c r="J122" s="16" t="n">
        <f aca="false">G122*H122</f>
        <v>13488</v>
      </c>
      <c r="K122" s="16" t="n">
        <f aca="false">(H122-I122)*G122</f>
        <v>-56.0000000000002</v>
      </c>
      <c r="L122" s="17" t="n">
        <f aca="false">IF(I122=0,0,H122/I122-1)</f>
        <v>-0.00413467217956287</v>
      </c>
      <c r="M122" s="14" t="n">
        <v>1</v>
      </c>
      <c r="N122" s="18" t="n">
        <v>0.006</v>
      </c>
    </row>
    <row r="123" customFormat="false" ht="15" hidden="false" customHeight="false" outlineLevel="0" collapsed="false">
      <c r="A123" s="12" t="s">
        <v>182</v>
      </c>
      <c r="B123" s="13" t="n">
        <v>45699</v>
      </c>
      <c r="C123" s="12" t="str">
        <f aca="false">TEXT(B123,"yyyy-mm")</f>
        <v>2025-02</v>
      </c>
      <c r="D123" s="12" t="s">
        <v>61</v>
      </c>
      <c r="E123" s="12" t="s">
        <v>36</v>
      </c>
      <c r="F123" s="12" t="s">
        <v>37</v>
      </c>
      <c r="G123" s="14" t="n">
        <v>1200</v>
      </c>
      <c r="H123" s="15" t="n">
        <v>13.56</v>
      </c>
      <c r="I123" s="15" t="n">
        <v>13.47</v>
      </c>
      <c r="J123" s="16" t="n">
        <f aca="false">G123*H123</f>
        <v>16272</v>
      </c>
      <c r="K123" s="16" t="n">
        <f aca="false">(H123-I123)*G123</f>
        <v>108</v>
      </c>
      <c r="L123" s="17" t="n">
        <f aca="false">IF(I123=0,0,H123/I123-1)</f>
        <v>0.00668151447661458</v>
      </c>
      <c r="M123" s="14" t="n">
        <v>1</v>
      </c>
      <c r="N123" s="18" t="n">
        <v>0.012</v>
      </c>
    </row>
    <row r="124" customFormat="false" ht="15" hidden="false" customHeight="false" outlineLevel="0" collapsed="false">
      <c r="A124" s="12" t="s">
        <v>183</v>
      </c>
      <c r="B124" s="13" t="n">
        <v>45699</v>
      </c>
      <c r="C124" s="12" t="str">
        <f aca="false">TEXT(B124,"yyyy-mm")</f>
        <v>2025-02</v>
      </c>
      <c r="D124" s="12" t="s">
        <v>61</v>
      </c>
      <c r="E124" s="12" t="s">
        <v>43</v>
      </c>
      <c r="F124" s="12" t="s">
        <v>44</v>
      </c>
      <c r="G124" s="14" t="n">
        <v>400</v>
      </c>
      <c r="H124" s="15" t="n">
        <v>14.47</v>
      </c>
      <c r="I124" s="15" t="n">
        <v>13.55</v>
      </c>
      <c r="J124" s="16" t="n">
        <f aca="false">G124*H124</f>
        <v>5788</v>
      </c>
      <c r="K124" s="16" t="n">
        <f aca="false">(H124-I124)*G124</f>
        <v>368</v>
      </c>
      <c r="L124" s="17" t="n">
        <f aca="false">IF(I124=0,0,H124/I124-1)</f>
        <v>0.0678966789667896</v>
      </c>
      <c r="M124" s="14" t="n">
        <v>1</v>
      </c>
      <c r="N124" s="18" t="n">
        <v>0.015</v>
      </c>
    </row>
    <row r="125" customFormat="false" ht="15" hidden="false" customHeight="false" outlineLevel="0" collapsed="false">
      <c r="A125" s="12" t="s">
        <v>184</v>
      </c>
      <c r="B125" s="13" t="n">
        <v>45699</v>
      </c>
      <c r="C125" s="12" t="str">
        <f aca="false">TEXT(B125,"yyyy-mm")</f>
        <v>2025-02</v>
      </c>
      <c r="D125" s="12" t="s">
        <v>58</v>
      </c>
      <c r="E125" s="12" t="s">
        <v>59</v>
      </c>
      <c r="F125" s="12" t="s">
        <v>55</v>
      </c>
      <c r="G125" s="14" t="n">
        <v>800</v>
      </c>
      <c r="H125" s="15" t="n">
        <v>28.47</v>
      </c>
      <c r="I125" s="15" t="n">
        <v>26.81</v>
      </c>
      <c r="J125" s="16" t="n">
        <f aca="false">G125*H125</f>
        <v>22776</v>
      </c>
      <c r="K125" s="16" t="n">
        <f aca="false">(H125-I125)*G125</f>
        <v>1328</v>
      </c>
      <c r="L125" s="17" t="n">
        <f aca="false">IF(I125=0,0,H125/I125-1)</f>
        <v>0.0619171950764641</v>
      </c>
      <c r="M125" s="14" t="n">
        <v>1</v>
      </c>
      <c r="N125" s="18" t="n">
        <v>0.021</v>
      </c>
    </row>
    <row r="126" customFormat="false" ht="15" hidden="false" customHeight="false" outlineLevel="0" collapsed="false">
      <c r="A126" s="12" t="s">
        <v>185</v>
      </c>
      <c r="B126" s="13" t="n">
        <v>45699</v>
      </c>
      <c r="C126" s="12" t="str">
        <f aca="false">TEXT(B126,"yyyy-mm")</f>
        <v>2025-02</v>
      </c>
      <c r="D126" s="12" t="s">
        <v>61</v>
      </c>
      <c r="E126" s="12" t="s">
        <v>43</v>
      </c>
      <c r="F126" s="12" t="s">
        <v>44</v>
      </c>
      <c r="G126" s="14" t="n">
        <v>1000</v>
      </c>
      <c r="H126" s="15" t="n">
        <v>14.45</v>
      </c>
      <c r="I126" s="15" t="n">
        <v>13.63</v>
      </c>
      <c r="J126" s="16" t="n">
        <f aca="false">G126*H126</f>
        <v>14450</v>
      </c>
      <c r="K126" s="16" t="n">
        <f aca="false">(H126-I126)*G126</f>
        <v>819.999999999999</v>
      </c>
      <c r="L126" s="17" t="n">
        <f aca="false">IF(I126=0,0,H126/I126-1)</f>
        <v>0.0601614086573734</v>
      </c>
      <c r="M126" s="14" t="n">
        <v>1</v>
      </c>
      <c r="N126" s="18" t="n">
        <v>0.017</v>
      </c>
    </row>
    <row r="127" customFormat="false" ht="15" hidden="false" customHeight="false" outlineLevel="0" collapsed="false">
      <c r="A127" s="12" t="s">
        <v>186</v>
      </c>
      <c r="B127" s="13" t="n">
        <v>45699</v>
      </c>
      <c r="C127" s="12" t="str">
        <f aca="false">TEXT(B127,"yyyy-mm")</f>
        <v>2025-02</v>
      </c>
      <c r="D127" s="12" t="s">
        <v>53</v>
      </c>
      <c r="E127" s="12" t="s">
        <v>49</v>
      </c>
      <c r="F127" s="12" t="s">
        <v>50</v>
      </c>
      <c r="G127" s="14" t="n">
        <v>200</v>
      </c>
      <c r="H127" s="15" t="n">
        <v>14.43</v>
      </c>
      <c r="I127" s="15" t="n">
        <v>14.26</v>
      </c>
      <c r="J127" s="16" t="n">
        <f aca="false">G127*H127</f>
        <v>2886</v>
      </c>
      <c r="K127" s="16" t="n">
        <f aca="false">(H127-I127)*G127</f>
        <v>34</v>
      </c>
      <c r="L127" s="17" t="n">
        <f aca="false">IF(I127=0,0,H127/I127-1)</f>
        <v>0.0119214586255259</v>
      </c>
      <c r="M127" s="14" t="n">
        <v>1</v>
      </c>
      <c r="N127" s="18" t="n">
        <v>0.035</v>
      </c>
    </row>
    <row r="128" customFormat="false" ht="15" hidden="false" customHeight="false" outlineLevel="0" collapsed="false">
      <c r="A128" s="12" t="s">
        <v>187</v>
      </c>
      <c r="B128" s="13" t="n">
        <v>45699</v>
      </c>
      <c r="C128" s="12" t="str">
        <f aca="false">TEXT(B128,"yyyy-mm")</f>
        <v>2025-02</v>
      </c>
      <c r="D128" s="12" t="s">
        <v>61</v>
      </c>
      <c r="E128" s="12" t="s">
        <v>36</v>
      </c>
      <c r="F128" s="12" t="s">
        <v>37</v>
      </c>
      <c r="G128" s="14" t="n">
        <v>600</v>
      </c>
      <c r="H128" s="15" t="n">
        <v>13.64</v>
      </c>
      <c r="I128" s="15" t="n">
        <v>13.86</v>
      </c>
      <c r="J128" s="16" t="n">
        <f aca="false">G128*H128</f>
        <v>8184</v>
      </c>
      <c r="K128" s="16" t="n">
        <f aca="false">(H128-I128)*G128</f>
        <v>-131.999999999999</v>
      </c>
      <c r="L128" s="17" t="n">
        <f aca="false">IF(I128=0,0,H128/I128-1)</f>
        <v>-0.0158730158730158</v>
      </c>
      <c r="M128" s="14" t="n">
        <v>1</v>
      </c>
      <c r="N128" s="18" t="n">
        <v>0.013</v>
      </c>
    </row>
    <row r="129" customFormat="false" ht="15" hidden="false" customHeight="false" outlineLevel="0" collapsed="false">
      <c r="A129" s="12" t="s">
        <v>188</v>
      </c>
      <c r="B129" s="13" t="n">
        <v>45699</v>
      </c>
      <c r="C129" s="12" t="str">
        <f aca="false">TEXT(B129,"yyyy-mm")</f>
        <v>2025-02</v>
      </c>
      <c r="D129" s="12" t="s">
        <v>39</v>
      </c>
      <c r="E129" s="12" t="s">
        <v>46</v>
      </c>
      <c r="F129" s="12" t="s">
        <v>47</v>
      </c>
      <c r="G129" s="14" t="n">
        <v>600</v>
      </c>
      <c r="H129" s="15" t="n">
        <v>17.69</v>
      </c>
      <c r="I129" s="15" t="n">
        <v>17.33</v>
      </c>
      <c r="J129" s="16" t="n">
        <f aca="false">G129*H129</f>
        <v>10614</v>
      </c>
      <c r="K129" s="16" t="n">
        <f aca="false">(H129-I129)*G129</f>
        <v>216.000000000002</v>
      </c>
      <c r="L129" s="17" t="n">
        <f aca="false">IF(I129=0,0,H129/I129-1)</f>
        <v>0.0207732256203117</v>
      </c>
      <c r="M129" s="14" t="n">
        <v>1</v>
      </c>
      <c r="N129" s="18" t="n">
        <v>0.007</v>
      </c>
    </row>
    <row r="130" customFormat="false" ht="15" hidden="false" customHeight="false" outlineLevel="0" collapsed="false">
      <c r="A130" s="12" t="s">
        <v>189</v>
      </c>
      <c r="B130" s="13" t="n">
        <v>45700</v>
      </c>
      <c r="C130" s="12" t="str">
        <f aca="false">TEXT(B130,"yyyy-mm")</f>
        <v>2025-02</v>
      </c>
      <c r="D130" s="12" t="s">
        <v>75</v>
      </c>
      <c r="E130" s="12" t="s">
        <v>40</v>
      </c>
      <c r="F130" s="12" t="s">
        <v>41</v>
      </c>
      <c r="G130" s="14" t="n">
        <v>800</v>
      </c>
      <c r="H130" s="15" t="n">
        <v>21.48</v>
      </c>
      <c r="I130" s="15" t="n">
        <v>21.56</v>
      </c>
      <c r="J130" s="16" t="n">
        <f aca="false">G130*H130</f>
        <v>17184</v>
      </c>
      <c r="K130" s="16" t="n">
        <f aca="false">(H130-I130)*G130</f>
        <v>-63.9999999999986</v>
      </c>
      <c r="L130" s="17" t="n">
        <f aca="false">IF(I130=0,0,H130/I130-1)</f>
        <v>-0.00371057513914652</v>
      </c>
      <c r="M130" s="14" t="n">
        <v>1</v>
      </c>
      <c r="N130" s="18" t="n">
        <v>0.029</v>
      </c>
    </row>
    <row r="131" customFormat="false" ht="15" hidden="false" customHeight="false" outlineLevel="0" collapsed="false">
      <c r="A131" s="12" t="s">
        <v>190</v>
      </c>
      <c r="B131" s="13" t="n">
        <v>45700</v>
      </c>
      <c r="C131" s="12" t="str">
        <f aca="false">TEXT(B131,"yyyy-mm")</f>
        <v>2025-02</v>
      </c>
      <c r="D131" s="12" t="s">
        <v>53</v>
      </c>
      <c r="E131" s="12" t="s">
        <v>54</v>
      </c>
      <c r="F131" s="12" t="s">
        <v>55</v>
      </c>
      <c r="G131" s="14" t="n">
        <v>200</v>
      </c>
      <c r="H131" s="15" t="n">
        <v>14.53</v>
      </c>
      <c r="I131" s="15" t="n">
        <v>13.84</v>
      </c>
      <c r="J131" s="16" t="n">
        <f aca="false">G131*H131</f>
        <v>2906</v>
      </c>
      <c r="K131" s="16" t="n">
        <f aca="false">(H131-I131)*G131</f>
        <v>138</v>
      </c>
      <c r="L131" s="17" t="n">
        <f aca="false">IF(I131=0,0,H131/I131-1)</f>
        <v>0.0498554913294798</v>
      </c>
      <c r="M131" s="14" t="n">
        <v>1</v>
      </c>
      <c r="N131" s="18" t="n">
        <v>0.022</v>
      </c>
    </row>
    <row r="132" customFormat="false" ht="15" hidden="false" customHeight="false" outlineLevel="0" collapsed="false">
      <c r="A132" s="12" t="s">
        <v>191</v>
      </c>
      <c r="B132" s="13" t="n">
        <v>45700</v>
      </c>
      <c r="C132" s="12" t="str">
        <f aca="false">TEXT(B132,"yyyy-mm")</f>
        <v>2025-02</v>
      </c>
      <c r="D132" s="12" t="s">
        <v>35</v>
      </c>
      <c r="E132" s="12" t="s">
        <v>43</v>
      </c>
      <c r="F132" s="12" t="s">
        <v>44</v>
      </c>
      <c r="G132" s="14" t="n">
        <v>1200</v>
      </c>
      <c r="H132" s="15" t="n">
        <v>17.22</v>
      </c>
      <c r="I132" s="15" t="n">
        <v>16.11</v>
      </c>
      <c r="J132" s="16" t="n">
        <f aca="false">G132*H132</f>
        <v>20664</v>
      </c>
      <c r="K132" s="16" t="n">
        <f aca="false">(H132-I132)*G132</f>
        <v>1332</v>
      </c>
      <c r="L132" s="17" t="n">
        <f aca="false">IF(I132=0,0,H132/I132-1)</f>
        <v>0.0689013035381749</v>
      </c>
      <c r="M132" s="14" t="n">
        <v>1</v>
      </c>
      <c r="N132" s="18" t="n">
        <v>0.015</v>
      </c>
    </row>
    <row r="133" customFormat="false" ht="15" hidden="false" customHeight="false" outlineLevel="0" collapsed="false">
      <c r="A133" s="12" t="s">
        <v>192</v>
      </c>
      <c r="B133" s="13" t="n">
        <v>45701</v>
      </c>
      <c r="C133" s="12" t="str">
        <f aca="false">TEXT(B133,"yyyy-mm")</f>
        <v>2025-02</v>
      </c>
      <c r="D133" s="12" t="s">
        <v>75</v>
      </c>
      <c r="E133" s="12" t="s">
        <v>40</v>
      </c>
      <c r="F133" s="12" t="s">
        <v>41</v>
      </c>
      <c r="G133" s="14" t="n">
        <v>600</v>
      </c>
      <c r="H133" s="15" t="n">
        <v>21.3</v>
      </c>
      <c r="I133" s="15" t="n">
        <v>21.68</v>
      </c>
      <c r="J133" s="16" t="n">
        <f aca="false">G133*H133</f>
        <v>12780</v>
      </c>
      <c r="K133" s="16" t="n">
        <f aca="false">(H133-I133)*G133</f>
        <v>-227.999999999999</v>
      </c>
      <c r="L133" s="17" t="n">
        <f aca="false">IF(I133=0,0,H133/I133-1)</f>
        <v>-0.0175276752767527</v>
      </c>
      <c r="M133" s="14" t="n">
        <v>1</v>
      </c>
      <c r="N133" s="18" t="n">
        <v>0.012</v>
      </c>
    </row>
    <row r="134" customFormat="false" ht="15" hidden="false" customHeight="false" outlineLevel="0" collapsed="false">
      <c r="A134" s="12" t="s">
        <v>193</v>
      </c>
      <c r="B134" s="13" t="n">
        <v>45701</v>
      </c>
      <c r="C134" s="12" t="str">
        <f aca="false">TEXT(B134,"yyyy-mm")</f>
        <v>2025-02</v>
      </c>
      <c r="D134" s="12" t="s">
        <v>35</v>
      </c>
      <c r="E134" s="12" t="s">
        <v>36</v>
      </c>
      <c r="F134" s="12" t="s">
        <v>37</v>
      </c>
      <c r="G134" s="14" t="n">
        <v>1200</v>
      </c>
      <c r="H134" s="15" t="n">
        <v>15.73</v>
      </c>
      <c r="I134" s="15" t="n">
        <v>15.78</v>
      </c>
      <c r="J134" s="16" t="n">
        <f aca="false">G134*H134</f>
        <v>18876</v>
      </c>
      <c r="K134" s="16" t="n">
        <f aca="false">(H134-I134)*G134</f>
        <v>-59.9999999999987</v>
      </c>
      <c r="L134" s="17" t="n">
        <f aca="false">IF(I134=0,0,H134/I134-1)</f>
        <v>-0.00316856780735098</v>
      </c>
      <c r="M134" s="14" t="n">
        <v>1</v>
      </c>
      <c r="N134" s="18" t="n">
        <v>0.016</v>
      </c>
    </row>
    <row r="135" customFormat="false" ht="15" hidden="false" customHeight="false" outlineLevel="0" collapsed="false">
      <c r="A135" s="12" t="s">
        <v>194</v>
      </c>
      <c r="B135" s="13" t="n">
        <v>45701</v>
      </c>
      <c r="C135" s="12" t="str">
        <f aca="false">TEXT(B135,"yyyy-mm")</f>
        <v>2025-02</v>
      </c>
      <c r="D135" s="12" t="s">
        <v>80</v>
      </c>
      <c r="E135" s="12" t="s">
        <v>81</v>
      </c>
      <c r="F135" s="12" t="s">
        <v>82</v>
      </c>
      <c r="G135" s="14" t="n">
        <v>1200</v>
      </c>
      <c r="H135" s="15" t="n">
        <v>19.22</v>
      </c>
      <c r="I135" s="15" t="n">
        <v>20.23</v>
      </c>
      <c r="J135" s="16" t="n">
        <f aca="false">G135*H135</f>
        <v>23064</v>
      </c>
      <c r="K135" s="16" t="n">
        <f aca="false">(H135-I135)*G135</f>
        <v>-1212</v>
      </c>
      <c r="L135" s="17" t="n">
        <f aca="false">IF(I135=0,0,H135/I135-1)</f>
        <v>-0.0499258526940188</v>
      </c>
      <c r="M135" s="14" t="n">
        <v>0</v>
      </c>
      <c r="N135" s="18" t="n">
        <v>0.014</v>
      </c>
    </row>
    <row r="136" customFormat="false" ht="15" hidden="false" customHeight="false" outlineLevel="0" collapsed="false">
      <c r="A136" s="12" t="s">
        <v>195</v>
      </c>
      <c r="B136" s="13" t="n">
        <v>45701</v>
      </c>
      <c r="C136" s="12" t="str">
        <f aca="false">TEXT(B136,"yyyy-mm")</f>
        <v>2025-02</v>
      </c>
      <c r="D136" s="12" t="s">
        <v>35</v>
      </c>
      <c r="E136" s="12" t="s">
        <v>36</v>
      </c>
      <c r="F136" s="12" t="s">
        <v>37</v>
      </c>
      <c r="G136" s="14" t="n">
        <v>2000</v>
      </c>
      <c r="H136" s="15" t="n">
        <v>15.44</v>
      </c>
      <c r="I136" s="15" t="n">
        <v>16.06</v>
      </c>
      <c r="J136" s="16" t="n">
        <f aca="false">G136*H136</f>
        <v>30880</v>
      </c>
      <c r="K136" s="16" t="n">
        <f aca="false">(H136-I136)*G136</f>
        <v>-1240</v>
      </c>
      <c r="L136" s="17" t="n">
        <f aca="false">IF(I136=0,0,H136/I136-1)</f>
        <v>-0.0386052303860522</v>
      </c>
      <c r="M136" s="14" t="n">
        <v>1</v>
      </c>
      <c r="N136" s="18" t="n">
        <v>0.021</v>
      </c>
    </row>
    <row r="137" customFormat="false" ht="15" hidden="false" customHeight="false" outlineLevel="0" collapsed="false">
      <c r="A137" s="12" t="s">
        <v>196</v>
      </c>
      <c r="B137" s="13" t="n">
        <v>45701</v>
      </c>
      <c r="C137" s="12" t="str">
        <f aca="false">TEXT(B137,"yyyy-mm")</f>
        <v>2025-02</v>
      </c>
      <c r="D137" s="12" t="s">
        <v>53</v>
      </c>
      <c r="E137" s="12" t="s">
        <v>54</v>
      </c>
      <c r="F137" s="12" t="s">
        <v>55</v>
      </c>
      <c r="G137" s="14" t="n">
        <v>2000</v>
      </c>
      <c r="H137" s="15" t="n">
        <v>14.19</v>
      </c>
      <c r="I137" s="15" t="n">
        <v>13.79</v>
      </c>
      <c r="J137" s="16" t="n">
        <f aca="false">G137*H137</f>
        <v>28380</v>
      </c>
      <c r="K137" s="16" t="n">
        <f aca="false">(H137-I137)*G137</f>
        <v>800.000000000001</v>
      </c>
      <c r="L137" s="17" t="n">
        <f aca="false">IF(I137=0,0,H137/I137-1)</f>
        <v>0.0290065264684554</v>
      </c>
      <c r="M137" s="14" t="n">
        <v>1</v>
      </c>
      <c r="N137" s="18" t="n">
        <v>0.01</v>
      </c>
    </row>
    <row r="138" customFormat="false" ht="15" hidden="false" customHeight="false" outlineLevel="0" collapsed="false">
      <c r="A138" s="12" t="s">
        <v>197</v>
      </c>
      <c r="B138" s="13" t="n">
        <v>45701</v>
      </c>
      <c r="C138" s="12" t="str">
        <f aca="false">TEXT(B138,"yyyy-mm")</f>
        <v>2025-02</v>
      </c>
      <c r="D138" s="12" t="s">
        <v>61</v>
      </c>
      <c r="E138" s="12" t="s">
        <v>43</v>
      </c>
      <c r="F138" s="12" t="s">
        <v>44</v>
      </c>
      <c r="G138" s="14" t="n">
        <v>600</v>
      </c>
      <c r="H138" s="15" t="n">
        <v>14.15</v>
      </c>
      <c r="I138" s="15" t="n">
        <v>13.64</v>
      </c>
      <c r="J138" s="16" t="n">
        <f aca="false">G138*H138</f>
        <v>8490</v>
      </c>
      <c r="K138" s="16" t="n">
        <f aca="false">(H138-I138)*G138</f>
        <v>306</v>
      </c>
      <c r="L138" s="17" t="n">
        <f aca="false">IF(I138=0,0,H138/I138-1)</f>
        <v>0.0373900293255132</v>
      </c>
      <c r="M138" s="14" t="n">
        <v>1</v>
      </c>
      <c r="N138" s="18" t="n">
        <v>0.008</v>
      </c>
    </row>
    <row r="139" customFormat="false" ht="15" hidden="false" customHeight="false" outlineLevel="0" collapsed="false">
      <c r="A139" s="12" t="s">
        <v>198</v>
      </c>
      <c r="B139" s="13" t="n">
        <v>45701</v>
      </c>
      <c r="C139" s="12" t="str">
        <f aca="false">TEXT(B139,"yyyy-mm")</f>
        <v>2025-02</v>
      </c>
      <c r="D139" s="12" t="s">
        <v>61</v>
      </c>
      <c r="E139" s="12" t="s">
        <v>43</v>
      </c>
      <c r="F139" s="12" t="s">
        <v>44</v>
      </c>
      <c r="G139" s="14" t="n">
        <v>1200</v>
      </c>
      <c r="H139" s="15" t="n">
        <v>14.97</v>
      </c>
      <c r="I139" s="15" t="n">
        <v>13.98</v>
      </c>
      <c r="J139" s="16" t="n">
        <f aca="false">G139*H139</f>
        <v>17964</v>
      </c>
      <c r="K139" s="16" t="n">
        <f aca="false">(H139-I139)*G139</f>
        <v>1188</v>
      </c>
      <c r="L139" s="17" t="n">
        <f aca="false">IF(I139=0,0,H139/I139-1)</f>
        <v>0.0708154506437768</v>
      </c>
      <c r="M139" s="14" t="n">
        <v>1</v>
      </c>
      <c r="N139" s="18" t="n">
        <v>0.008</v>
      </c>
    </row>
    <row r="140" customFormat="false" ht="15" hidden="false" customHeight="false" outlineLevel="0" collapsed="false">
      <c r="A140" s="12" t="s">
        <v>199</v>
      </c>
      <c r="B140" s="13" t="n">
        <v>45702</v>
      </c>
      <c r="C140" s="12" t="str">
        <f aca="false">TEXT(B140,"yyyy-mm")</f>
        <v>2025-02</v>
      </c>
      <c r="D140" s="12" t="s">
        <v>53</v>
      </c>
      <c r="E140" s="12" t="s">
        <v>54</v>
      </c>
      <c r="F140" s="12" t="s">
        <v>55</v>
      </c>
      <c r="G140" s="14" t="n">
        <v>600</v>
      </c>
      <c r="H140" s="15" t="n">
        <v>14.79</v>
      </c>
      <c r="I140" s="15" t="n">
        <v>14.31</v>
      </c>
      <c r="J140" s="16" t="n">
        <f aca="false">G140*H140</f>
        <v>8874</v>
      </c>
      <c r="K140" s="16" t="n">
        <f aca="false">(H140-I140)*G140</f>
        <v>287.999999999999</v>
      </c>
      <c r="L140" s="17" t="n">
        <f aca="false">IF(I140=0,0,H140/I140-1)</f>
        <v>0.0335429769392033</v>
      </c>
      <c r="M140" s="14" t="n">
        <v>1</v>
      </c>
      <c r="N140" s="18" t="n">
        <v>0.021</v>
      </c>
    </row>
    <row r="141" customFormat="false" ht="15" hidden="false" customHeight="false" outlineLevel="0" collapsed="false">
      <c r="A141" s="12" t="s">
        <v>200</v>
      </c>
      <c r="B141" s="13" t="n">
        <v>45702</v>
      </c>
      <c r="C141" s="12" t="str">
        <f aca="false">TEXT(B141,"yyyy-mm")</f>
        <v>2025-02</v>
      </c>
      <c r="D141" s="12" t="s">
        <v>61</v>
      </c>
      <c r="E141" s="12" t="s">
        <v>43</v>
      </c>
      <c r="F141" s="12" t="s">
        <v>44</v>
      </c>
      <c r="G141" s="14" t="n">
        <v>1200</v>
      </c>
      <c r="H141" s="15" t="n">
        <v>14.23</v>
      </c>
      <c r="I141" s="15" t="n">
        <v>13.61</v>
      </c>
      <c r="J141" s="16" t="n">
        <f aca="false">G141*H141</f>
        <v>17076</v>
      </c>
      <c r="K141" s="16" t="n">
        <f aca="false">(H141-I141)*G141</f>
        <v>744.000000000001</v>
      </c>
      <c r="L141" s="17" t="n">
        <f aca="false">IF(I141=0,0,H141/I141-1)</f>
        <v>0.0455547391623807</v>
      </c>
      <c r="M141" s="14" t="n">
        <v>1</v>
      </c>
      <c r="N141" s="18" t="n">
        <v>0.011</v>
      </c>
    </row>
    <row r="142" customFormat="false" ht="15" hidden="false" customHeight="false" outlineLevel="0" collapsed="false">
      <c r="A142" s="12" t="s">
        <v>201</v>
      </c>
      <c r="B142" s="13" t="n">
        <v>45702</v>
      </c>
      <c r="C142" s="12" t="str">
        <f aca="false">TEXT(B142,"yyyy-mm")</f>
        <v>2025-02</v>
      </c>
      <c r="D142" s="12" t="s">
        <v>61</v>
      </c>
      <c r="E142" s="12" t="s">
        <v>36</v>
      </c>
      <c r="F142" s="12" t="s">
        <v>37</v>
      </c>
      <c r="G142" s="14" t="n">
        <v>800</v>
      </c>
      <c r="H142" s="15" t="n">
        <v>13.76</v>
      </c>
      <c r="I142" s="15" t="n">
        <v>13.6</v>
      </c>
      <c r="J142" s="16" t="n">
        <f aca="false">G142*H142</f>
        <v>11008</v>
      </c>
      <c r="K142" s="16" t="n">
        <f aca="false">(H142-I142)*G142</f>
        <v>128</v>
      </c>
      <c r="L142" s="17" t="n">
        <f aca="false">IF(I142=0,0,H142/I142-1)</f>
        <v>0.0117647058823529</v>
      </c>
      <c r="M142" s="14" t="n">
        <v>1</v>
      </c>
      <c r="N142" s="18" t="n">
        <v>0.021</v>
      </c>
    </row>
    <row r="143" customFormat="false" ht="15" hidden="false" customHeight="false" outlineLevel="0" collapsed="false">
      <c r="A143" s="12" t="s">
        <v>202</v>
      </c>
      <c r="B143" s="13" t="n">
        <v>45702</v>
      </c>
      <c r="C143" s="12" t="str">
        <f aca="false">TEXT(B143,"yyyy-mm")</f>
        <v>2025-02</v>
      </c>
      <c r="D143" s="12" t="s">
        <v>80</v>
      </c>
      <c r="E143" s="12" t="s">
        <v>81</v>
      </c>
      <c r="F143" s="12" t="s">
        <v>82</v>
      </c>
      <c r="G143" s="14" t="n">
        <v>2000</v>
      </c>
      <c r="H143" s="15" t="n">
        <v>20.22</v>
      </c>
      <c r="I143" s="15" t="n">
        <v>20.98</v>
      </c>
      <c r="J143" s="16" t="n">
        <f aca="false">G143*H143</f>
        <v>40440</v>
      </c>
      <c r="K143" s="16" t="n">
        <f aca="false">(H143-I143)*G143</f>
        <v>-1520</v>
      </c>
      <c r="L143" s="17" t="n">
        <f aca="false">IF(I143=0,0,H143/I143-1)</f>
        <v>-0.0362249761677789</v>
      </c>
      <c r="M143" s="14" t="n">
        <v>1</v>
      </c>
      <c r="N143" s="18" t="n">
        <v>0.014</v>
      </c>
    </row>
    <row r="144" customFormat="false" ht="15" hidden="false" customHeight="false" outlineLevel="0" collapsed="false">
      <c r="A144" s="12" t="s">
        <v>203</v>
      </c>
      <c r="B144" s="13" t="n">
        <v>45702</v>
      </c>
      <c r="C144" s="12" t="str">
        <f aca="false">TEXT(B144,"yyyy-mm")</f>
        <v>2025-02</v>
      </c>
      <c r="D144" s="12" t="s">
        <v>80</v>
      </c>
      <c r="E144" s="12" t="s">
        <v>81</v>
      </c>
      <c r="F144" s="12" t="s">
        <v>82</v>
      </c>
      <c r="G144" s="14" t="n">
        <v>200</v>
      </c>
      <c r="H144" s="15" t="n">
        <v>21.13</v>
      </c>
      <c r="I144" s="15" t="n">
        <v>21.25</v>
      </c>
      <c r="J144" s="16" t="n">
        <f aca="false">G144*H144</f>
        <v>4226</v>
      </c>
      <c r="K144" s="16" t="n">
        <f aca="false">(H144-I144)*G144</f>
        <v>-24.0000000000002</v>
      </c>
      <c r="L144" s="17" t="n">
        <f aca="false">IF(I144=0,0,H144/I144-1)</f>
        <v>-0.00564705882352945</v>
      </c>
      <c r="M144" s="14" t="n">
        <v>1</v>
      </c>
      <c r="N144" s="18" t="n">
        <v>0.041</v>
      </c>
    </row>
    <row r="145" customFormat="false" ht="15" hidden="false" customHeight="false" outlineLevel="0" collapsed="false">
      <c r="A145" s="12" t="s">
        <v>204</v>
      </c>
      <c r="B145" s="13" t="n">
        <v>45702</v>
      </c>
      <c r="C145" s="12" t="str">
        <f aca="false">TEXT(B145,"yyyy-mm")</f>
        <v>2025-02</v>
      </c>
      <c r="D145" s="12" t="s">
        <v>39</v>
      </c>
      <c r="E145" s="12" t="s">
        <v>46</v>
      </c>
      <c r="F145" s="12" t="s">
        <v>47</v>
      </c>
      <c r="G145" s="14" t="n">
        <v>1000</v>
      </c>
      <c r="H145" s="15" t="n">
        <v>17.99</v>
      </c>
      <c r="I145" s="15" t="n">
        <v>17.47</v>
      </c>
      <c r="J145" s="16" t="n">
        <f aca="false">G145*H145</f>
        <v>17990</v>
      </c>
      <c r="K145" s="16" t="n">
        <f aca="false">(H145-I145)*G145</f>
        <v>520</v>
      </c>
      <c r="L145" s="17" t="n">
        <f aca="false">IF(I145=0,0,H145/I145-1)</f>
        <v>0.0297653119633658</v>
      </c>
      <c r="M145" s="14" t="n">
        <v>1</v>
      </c>
      <c r="N145" s="18" t="n">
        <v>0.006</v>
      </c>
    </row>
    <row r="146" customFormat="false" ht="15" hidden="false" customHeight="false" outlineLevel="0" collapsed="false">
      <c r="A146" s="12" t="s">
        <v>205</v>
      </c>
      <c r="B146" s="13" t="n">
        <v>45702</v>
      </c>
      <c r="C146" s="12" t="str">
        <f aca="false">TEXT(B146,"yyyy-mm")</f>
        <v>2025-02</v>
      </c>
      <c r="D146" s="12" t="s">
        <v>80</v>
      </c>
      <c r="E146" s="12" t="s">
        <v>81</v>
      </c>
      <c r="F146" s="12" t="s">
        <v>82</v>
      </c>
      <c r="G146" s="14" t="n">
        <v>1200</v>
      </c>
      <c r="H146" s="15" t="n">
        <v>20.2</v>
      </c>
      <c r="I146" s="15" t="n">
        <v>20.48</v>
      </c>
      <c r="J146" s="16" t="n">
        <f aca="false">G146*H146</f>
        <v>24240</v>
      </c>
      <c r="K146" s="16" t="n">
        <f aca="false">(H146-I146)*G146</f>
        <v>-336.000000000001</v>
      </c>
      <c r="L146" s="17" t="n">
        <f aca="false">IF(I146=0,0,H146/I146-1)</f>
        <v>-0.013671875</v>
      </c>
      <c r="M146" s="14" t="n">
        <v>1</v>
      </c>
      <c r="N146" s="18" t="n">
        <v>0.042</v>
      </c>
    </row>
    <row r="147" customFormat="false" ht="15" hidden="false" customHeight="false" outlineLevel="0" collapsed="false">
      <c r="A147" s="12" t="s">
        <v>206</v>
      </c>
      <c r="B147" s="13" t="n">
        <v>45702</v>
      </c>
      <c r="C147" s="12" t="str">
        <f aca="false">TEXT(B147,"yyyy-mm")</f>
        <v>2025-02</v>
      </c>
      <c r="D147" s="12" t="s">
        <v>39</v>
      </c>
      <c r="E147" s="12" t="s">
        <v>46</v>
      </c>
      <c r="F147" s="12" t="s">
        <v>47</v>
      </c>
      <c r="G147" s="14" t="n">
        <v>1600</v>
      </c>
      <c r="H147" s="15" t="n">
        <v>17.8</v>
      </c>
      <c r="I147" s="15" t="n">
        <v>17.31</v>
      </c>
      <c r="J147" s="16" t="n">
        <f aca="false">G147*H147</f>
        <v>28480</v>
      </c>
      <c r="K147" s="16" t="n">
        <f aca="false">(H147-I147)*G147</f>
        <v>784.000000000003</v>
      </c>
      <c r="L147" s="17" t="n">
        <f aca="false">IF(I147=0,0,H147/I147-1)</f>
        <v>0.0283073367995379</v>
      </c>
      <c r="M147" s="14" t="n">
        <v>1</v>
      </c>
      <c r="N147" s="18" t="n">
        <v>0.005</v>
      </c>
    </row>
    <row r="148" customFormat="false" ht="15" hidden="false" customHeight="false" outlineLevel="0" collapsed="false">
      <c r="A148" s="12" t="s">
        <v>207</v>
      </c>
      <c r="B148" s="13" t="n">
        <v>45703</v>
      </c>
      <c r="C148" s="12" t="str">
        <f aca="false">TEXT(B148,"yyyy-mm")</f>
        <v>2025-02</v>
      </c>
      <c r="D148" s="12" t="s">
        <v>58</v>
      </c>
      <c r="E148" s="12" t="s">
        <v>76</v>
      </c>
      <c r="F148" s="12" t="s">
        <v>77</v>
      </c>
      <c r="G148" s="14" t="n">
        <v>600</v>
      </c>
      <c r="H148" s="15" t="n">
        <v>27.47</v>
      </c>
      <c r="I148" s="15" t="n">
        <v>26.54</v>
      </c>
      <c r="J148" s="16" t="n">
        <f aca="false">G148*H148</f>
        <v>16482</v>
      </c>
      <c r="K148" s="16" t="n">
        <f aca="false">(H148-I148)*G148</f>
        <v>558</v>
      </c>
      <c r="L148" s="17" t="n">
        <f aca="false">IF(I148=0,0,H148/I148-1)</f>
        <v>0.035041446872645</v>
      </c>
      <c r="M148" s="14" t="n">
        <v>1</v>
      </c>
      <c r="N148" s="18" t="n">
        <v>0.013</v>
      </c>
    </row>
    <row r="149" customFormat="false" ht="15" hidden="false" customHeight="false" outlineLevel="0" collapsed="false">
      <c r="A149" s="12" t="s">
        <v>208</v>
      </c>
      <c r="B149" s="13" t="n">
        <v>45703</v>
      </c>
      <c r="C149" s="12" t="str">
        <f aca="false">TEXT(B149,"yyyy-mm")</f>
        <v>2025-02</v>
      </c>
      <c r="D149" s="12" t="s">
        <v>75</v>
      </c>
      <c r="E149" s="12" t="s">
        <v>76</v>
      </c>
      <c r="F149" s="12" t="s">
        <v>77</v>
      </c>
      <c r="G149" s="14" t="n">
        <v>800</v>
      </c>
      <c r="H149" s="15" t="n">
        <v>22.26</v>
      </c>
      <c r="I149" s="15" t="n">
        <v>22.41</v>
      </c>
      <c r="J149" s="16" t="n">
        <f aca="false">G149*H149</f>
        <v>17808</v>
      </c>
      <c r="K149" s="16" t="n">
        <f aca="false">(H149-I149)*G149</f>
        <v>-119.999999999999</v>
      </c>
      <c r="L149" s="17" t="n">
        <f aca="false">IF(I149=0,0,H149/I149-1)</f>
        <v>-0.00669344042838016</v>
      </c>
      <c r="M149" s="14" t="n">
        <v>1</v>
      </c>
      <c r="N149" s="18" t="n">
        <v>0.016</v>
      </c>
    </row>
    <row r="150" customFormat="false" ht="15" hidden="false" customHeight="false" outlineLevel="0" collapsed="false">
      <c r="A150" s="12" t="s">
        <v>209</v>
      </c>
      <c r="B150" s="13" t="n">
        <v>45703</v>
      </c>
      <c r="C150" s="12" t="str">
        <f aca="false">TEXT(B150,"yyyy-mm")</f>
        <v>2025-02</v>
      </c>
      <c r="D150" s="12" t="s">
        <v>58</v>
      </c>
      <c r="E150" s="12" t="s">
        <v>76</v>
      </c>
      <c r="F150" s="12" t="s">
        <v>77</v>
      </c>
      <c r="G150" s="14" t="n">
        <v>2000</v>
      </c>
      <c r="H150" s="15" t="n">
        <v>27.98</v>
      </c>
      <c r="I150" s="15" t="n">
        <v>27.18</v>
      </c>
      <c r="J150" s="16" t="n">
        <f aca="false">G150*H150</f>
        <v>55960</v>
      </c>
      <c r="K150" s="16" t="n">
        <f aca="false">(H150-I150)*G150</f>
        <v>1600</v>
      </c>
      <c r="L150" s="17" t="n">
        <f aca="false">IF(I150=0,0,H150/I150-1)</f>
        <v>0.0294334069168507</v>
      </c>
      <c r="M150" s="14" t="n">
        <v>1</v>
      </c>
      <c r="N150" s="18" t="n">
        <v>0.024</v>
      </c>
    </row>
    <row r="151" customFormat="false" ht="15" hidden="false" customHeight="false" outlineLevel="0" collapsed="false">
      <c r="A151" s="12" t="s">
        <v>210</v>
      </c>
      <c r="B151" s="13" t="n">
        <v>45703</v>
      </c>
      <c r="C151" s="12" t="str">
        <f aca="false">TEXT(B151,"yyyy-mm")</f>
        <v>2025-02</v>
      </c>
      <c r="D151" s="12" t="s">
        <v>61</v>
      </c>
      <c r="E151" s="12" t="s">
        <v>43</v>
      </c>
      <c r="F151" s="12" t="s">
        <v>44</v>
      </c>
      <c r="G151" s="14" t="n">
        <v>1000</v>
      </c>
      <c r="H151" s="15" t="n">
        <v>13.83</v>
      </c>
      <c r="I151" s="15" t="n">
        <v>13.43</v>
      </c>
      <c r="J151" s="16" t="n">
        <f aca="false">G151*H151</f>
        <v>13830</v>
      </c>
      <c r="K151" s="16" t="n">
        <f aca="false">(H151-I151)*G151</f>
        <v>400</v>
      </c>
      <c r="L151" s="17" t="n">
        <f aca="false">IF(I151=0,0,H151/I151-1)</f>
        <v>0.0297840655249442</v>
      </c>
      <c r="M151" s="14" t="n">
        <v>1</v>
      </c>
      <c r="N151" s="18" t="n">
        <v>0.012</v>
      </c>
    </row>
    <row r="152" customFormat="false" ht="15" hidden="false" customHeight="false" outlineLevel="0" collapsed="false">
      <c r="A152" s="12" t="s">
        <v>211</v>
      </c>
      <c r="B152" s="13" t="n">
        <v>45704</v>
      </c>
      <c r="C152" s="12" t="str">
        <f aca="false">TEXT(B152,"yyyy-mm")</f>
        <v>2025-02</v>
      </c>
      <c r="D152" s="12" t="s">
        <v>75</v>
      </c>
      <c r="E152" s="12" t="s">
        <v>76</v>
      </c>
      <c r="F152" s="12" t="s">
        <v>77</v>
      </c>
      <c r="G152" s="14" t="n">
        <v>1200</v>
      </c>
      <c r="H152" s="15" t="n">
        <v>21.75</v>
      </c>
      <c r="I152" s="15" t="n">
        <v>21.56</v>
      </c>
      <c r="J152" s="16" t="n">
        <f aca="false">G152*H152</f>
        <v>26100</v>
      </c>
      <c r="K152" s="16" t="n">
        <f aca="false">(H152-I152)*G152</f>
        <v>228.000000000002</v>
      </c>
      <c r="L152" s="17" t="n">
        <f aca="false">IF(I152=0,0,H152/I152-1)</f>
        <v>0.00881261595547311</v>
      </c>
      <c r="M152" s="14" t="n">
        <v>1</v>
      </c>
      <c r="N152" s="18" t="n">
        <v>0.027</v>
      </c>
    </row>
    <row r="153" customFormat="false" ht="15" hidden="false" customHeight="false" outlineLevel="0" collapsed="false">
      <c r="A153" s="12" t="s">
        <v>212</v>
      </c>
      <c r="B153" s="13" t="n">
        <v>45704</v>
      </c>
      <c r="C153" s="12" t="str">
        <f aca="false">TEXT(B153,"yyyy-mm")</f>
        <v>2025-02</v>
      </c>
      <c r="D153" s="12" t="s">
        <v>53</v>
      </c>
      <c r="E153" s="12" t="s">
        <v>54</v>
      </c>
      <c r="F153" s="12" t="s">
        <v>55</v>
      </c>
      <c r="G153" s="14" t="n">
        <v>1200</v>
      </c>
      <c r="H153" s="15" t="n">
        <v>14.57</v>
      </c>
      <c r="I153" s="15" t="n">
        <v>14.14</v>
      </c>
      <c r="J153" s="16" t="n">
        <f aca="false">G153*H153</f>
        <v>17484</v>
      </c>
      <c r="K153" s="16" t="n">
        <f aca="false">(H153-I153)*G153</f>
        <v>516</v>
      </c>
      <c r="L153" s="17" t="n">
        <f aca="false">IF(I153=0,0,H153/I153-1)</f>
        <v>0.0304101838755304</v>
      </c>
      <c r="M153" s="14" t="n">
        <v>1</v>
      </c>
      <c r="N153" s="18" t="n">
        <v>0.016</v>
      </c>
    </row>
    <row r="154" customFormat="false" ht="15" hidden="false" customHeight="false" outlineLevel="0" collapsed="false">
      <c r="A154" s="12" t="s">
        <v>213</v>
      </c>
      <c r="B154" s="13" t="n">
        <v>45704</v>
      </c>
      <c r="C154" s="12" t="str">
        <f aca="false">TEXT(B154,"yyyy-mm")</f>
        <v>2025-02</v>
      </c>
      <c r="D154" s="12" t="s">
        <v>75</v>
      </c>
      <c r="E154" s="12" t="s">
        <v>40</v>
      </c>
      <c r="F154" s="12" t="s">
        <v>41</v>
      </c>
      <c r="G154" s="14" t="n">
        <v>600</v>
      </c>
      <c r="H154" s="15" t="n">
        <v>22.7</v>
      </c>
      <c r="I154" s="15" t="n">
        <v>22.52</v>
      </c>
      <c r="J154" s="16" t="n">
        <f aca="false">G154*H154</f>
        <v>13620</v>
      </c>
      <c r="K154" s="16" t="n">
        <f aca="false">(H154-I154)*G154</f>
        <v>108</v>
      </c>
      <c r="L154" s="17" t="n">
        <f aca="false">IF(I154=0,0,H154/I154-1)</f>
        <v>0.00799289520426294</v>
      </c>
      <c r="M154" s="14" t="n">
        <v>1</v>
      </c>
      <c r="N154" s="18" t="n">
        <v>0.004</v>
      </c>
    </row>
    <row r="155" customFormat="false" ht="15" hidden="false" customHeight="false" outlineLevel="0" collapsed="false">
      <c r="A155" s="12" t="s">
        <v>214</v>
      </c>
      <c r="B155" s="13" t="n">
        <v>45705</v>
      </c>
      <c r="C155" s="12" t="str">
        <f aca="false">TEXT(B155,"yyyy-mm")</f>
        <v>2025-02</v>
      </c>
      <c r="D155" s="12" t="s">
        <v>35</v>
      </c>
      <c r="E155" s="12" t="s">
        <v>43</v>
      </c>
      <c r="F155" s="12" t="s">
        <v>44</v>
      </c>
      <c r="G155" s="14" t="n">
        <v>2400</v>
      </c>
      <c r="H155" s="15" t="n">
        <v>16.16</v>
      </c>
      <c r="I155" s="15" t="n">
        <v>15.4</v>
      </c>
      <c r="J155" s="16" t="n">
        <f aca="false">G155*H155</f>
        <v>38784</v>
      </c>
      <c r="K155" s="16" t="n">
        <f aca="false">(H155-I155)*G155</f>
        <v>1824</v>
      </c>
      <c r="L155" s="17" t="n">
        <f aca="false">IF(I155=0,0,H155/I155-1)</f>
        <v>0.0493506493506493</v>
      </c>
      <c r="M155" s="14" t="n">
        <v>1</v>
      </c>
      <c r="N155" s="18" t="n">
        <v>0.015</v>
      </c>
    </row>
    <row r="156" customFormat="false" ht="15" hidden="false" customHeight="false" outlineLevel="0" collapsed="false">
      <c r="A156" s="12" t="s">
        <v>215</v>
      </c>
      <c r="B156" s="13" t="n">
        <v>45705</v>
      </c>
      <c r="C156" s="12" t="str">
        <f aca="false">TEXT(B156,"yyyy-mm")</f>
        <v>2025-02</v>
      </c>
      <c r="D156" s="12" t="s">
        <v>58</v>
      </c>
      <c r="E156" s="12" t="s">
        <v>59</v>
      </c>
      <c r="F156" s="12" t="s">
        <v>55</v>
      </c>
      <c r="G156" s="14" t="n">
        <v>1000</v>
      </c>
      <c r="H156" s="15" t="n">
        <v>27.22</v>
      </c>
      <c r="I156" s="15" t="n">
        <v>25.95</v>
      </c>
      <c r="J156" s="16" t="n">
        <f aca="false">G156*H156</f>
        <v>27220</v>
      </c>
      <c r="K156" s="16" t="n">
        <f aca="false">(H156-I156)*G156</f>
        <v>1270</v>
      </c>
      <c r="L156" s="17" t="n">
        <f aca="false">IF(I156=0,0,H156/I156-1)</f>
        <v>0.0489402697495183</v>
      </c>
      <c r="M156" s="14" t="n">
        <v>1</v>
      </c>
      <c r="N156" s="18" t="n">
        <v>0.02</v>
      </c>
    </row>
    <row r="157" customFormat="false" ht="15" hidden="false" customHeight="false" outlineLevel="0" collapsed="false">
      <c r="A157" s="12" t="s">
        <v>216</v>
      </c>
      <c r="B157" s="13" t="n">
        <v>45705</v>
      </c>
      <c r="C157" s="12" t="str">
        <f aca="false">TEXT(B157,"yyyy-mm")</f>
        <v>2025-02</v>
      </c>
      <c r="D157" s="12" t="s">
        <v>61</v>
      </c>
      <c r="E157" s="12" t="s">
        <v>43</v>
      </c>
      <c r="F157" s="12" t="s">
        <v>44</v>
      </c>
      <c r="G157" s="14" t="n">
        <v>600</v>
      </c>
      <c r="H157" s="15" t="n">
        <v>14.05</v>
      </c>
      <c r="I157" s="15" t="n">
        <v>13.59</v>
      </c>
      <c r="J157" s="16" t="n">
        <f aca="false">G157*H157</f>
        <v>8430</v>
      </c>
      <c r="K157" s="16" t="n">
        <f aca="false">(H157-I157)*G157</f>
        <v>276.000000000001</v>
      </c>
      <c r="L157" s="17" t="n">
        <f aca="false">IF(I157=0,0,H157/I157-1)</f>
        <v>0.0338484179543783</v>
      </c>
      <c r="M157" s="14" t="n">
        <v>1</v>
      </c>
      <c r="N157" s="18" t="n">
        <v>0.014</v>
      </c>
    </row>
    <row r="158" customFormat="false" ht="15" hidden="false" customHeight="false" outlineLevel="0" collapsed="false">
      <c r="A158" s="12" t="s">
        <v>217</v>
      </c>
      <c r="B158" s="13" t="n">
        <v>45706</v>
      </c>
      <c r="C158" s="12" t="str">
        <f aca="false">TEXT(B158,"yyyy-mm")</f>
        <v>2025-02</v>
      </c>
      <c r="D158" s="12" t="s">
        <v>75</v>
      </c>
      <c r="E158" s="12" t="s">
        <v>40</v>
      </c>
      <c r="F158" s="12" t="s">
        <v>41</v>
      </c>
      <c r="G158" s="14" t="n">
        <v>800</v>
      </c>
      <c r="H158" s="15" t="n">
        <v>22.16</v>
      </c>
      <c r="I158" s="15" t="n">
        <v>21.85</v>
      </c>
      <c r="J158" s="16" t="n">
        <f aca="false">G158*H158</f>
        <v>17728</v>
      </c>
      <c r="K158" s="16" t="n">
        <f aca="false">(H158-I158)*G158</f>
        <v>247.999999999999</v>
      </c>
      <c r="L158" s="17" t="n">
        <f aca="false">IF(I158=0,0,H158/I158-1)</f>
        <v>0.0141876430205949</v>
      </c>
      <c r="M158" s="14" t="n">
        <v>1</v>
      </c>
      <c r="N158" s="18" t="n">
        <v>0</v>
      </c>
    </row>
    <row r="159" customFormat="false" ht="15" hidden="false" customHeight="false" outlineLevel="0" collapsed="false">
      <c r="A159" s="12" t="s">
        <v>218</v>
      </c>
      <c r="B159" s="13" t="n">
        <v>45706</v>
      </c>
      <c r="C159" s="12" t="str">
        <f aca="false">TEXT(B159,"yyyy-mm")</f>
        <v>2025-02</v>
      </c>
      <c r="D159" s="12" t="s">
        <v>39</v>
      </c>
      <c r="E159" s="12" t="s">
        <v>46</v>
      </c>
      <c r="F159" s="12" t="s">
        <v>47</v>
      </c>
      <c r="G159" s="14" t="n">
        <v>600</v>
      </c>
      <c r="H159" s="15" t="n">
        <v>18.15</v>
      </c>
      <c r="I159" s="15" t="n">
        <v>17.22</v>
      </c>
      <c r="J159" s="16" t="n">
        <f aca="false">G159*H159</f>
        <v>10890</v>
      </c>
      <c r="K159" s="16" t="n">
        <f aca="false">(H159-I159)*G159</f>
        <v>558</v>
      </c>
      <c r="L159" s="17" t="n">
        <f aca="false">IF(I159=0,0,H159/I159-1)</f>
        <v>0.0540069686411149</v>
      </c>
      <c r="M159" s="14" t="n">
        <v>1</v>
      </c>
      <c r="N159" s="18" t="n">
        <v>0.011</v>
      </c>
    </row>
    <row r="160" customFormat="false" ht="15" hidden="false" customHeight="false" outlineLevel="0" collapsed="false">
      <c r="A160" s="12" t="s">
        <v>219</v>
      </c>
      <c r="B160" s="13" t="n">
        <v>45706</v>
      </c>
      <c r="C160" s="12" t="str">
        <f aca="false">TEXT(B160,"yyyy-mm")</f>
        <v>2025-02</v>
      </c>
      <c r="D160" s="12" t="s">
        <v>80</v>
      </c>
      <c r="E160" s="12" t="s">
        <v>81</v>
      </c>
      <c r="F160" s="12" t="s">
        <v>82</v>
      </c>
      <c r="G160" s="14" t="n">
        <v>600</v>
      </c>
      <c r="H160" s="15" t="n">
        <v>20.04</v>
      </c>
      <c r="I160" s="15" t="n">
        <v>21.13</v>
      </c>
      <c r="J160" s="16" t="n">
        <f aca="false">G160*H160</f>
        <v>12024</v>
      </c>
      <c r="K160" s="16" t="n">
        <f aca="false">(H160-I160)*G160</f>
        <v>-654</v>
      </c>
      <c r="L160" s="17" t="n">
        <f aca="false">IF(I160=0,0,H160/I160-1)</f>
        <v>-0.0515854235683861</v>
      </c>
      <c r="M160" s="14" t="n">
        <v>1</v>
      </c>
      <c r="N160" s="18" t="n">
        <v>0.028</v>
      </c>
    </row>
    <row r="161" customFormat="false" ht="15" hidden="false" customHeight="false" outlineLevel="0" collapsed="false">
      <c r="A161" s="12" t="s">
        <v>220</v>
      </c>
      <c r="B161" s="13" t="n">
        <v>45706</v>
      </c>
      <c r="C161" s="12" t="str">
        <f aca="false">TEXT(B161,"yyyy-mm")</f>
        <v>2025-02</v>
      </c>
      <c r="D161" s="12" t="s">
        <v>61</v>
      </c>
      <c r="E161" s="12" t="s">
        <v>43</v>
      </c>
      <c r="F161" s="12" t="s">
        <v>44</v>
      </c>
      <c r="G161" s="14" t="n">
        <v>2000</v>
      </c>
      <c r="H161" s="15" t="n">
        <v>13.54</v>
      </c>
      <c r="I161" s="15" t="n">
        <v>13.39</v>
      </c>
      <c r="J161" s="16" t="n">
        <f aca="false">G161*H161</f>
        <v>27080</v>
      </c>
      <c r="K161" s="16" t="n">
        <f aca="false">(H161-I161)*G161</f>
        <v>299.999999999997</v>
      </c>
      <c r="L161" s="17" t="n">
        <f aca="false">IF(I161=0,0,H161/I161-1)</f>
        <v>0.0112023898431664</v>
      </c>
      <c r="M161" s="14" t="n">
        <v>1</v>
      </c>
      <c r="N161" s="18" t="n">
        <v>0.012</v>
      </c>
    </row>
    <row r="162" customFormat="false" ht="15" hidden="false" customHeight="false" outlineLevel="0" collapsed="false">
      <c r="A162" s="12" t="s">
        <v>221</v>
      </c>
      <c r="B162" s="13" t="n">
        <v>45706</v>
      </c>
      <c r="C162" s="12" t="str">
        <f aca="false">TEXT(B162,"yyyy-mm")</f>
        <v>2025-02</v>
      </c>
      <c r="D162" s="12" t="s">
        <v>58</v>
      </c>
      <c r="E162" s="12" t="s">
        <v>59</v>
      </c>
      <c r="F162" s="12" t="s">
        <v>55</v>
      </c>
      <c r="G162" s="14" t="n">
        <v>2000</v>
      </c>
      <c r="H162" s="15" t="n">
        <v>26.76</v>
      </c>
      <c r="I162" s="15" t="n">
        <v>25.74</v>
      </c>
      <c r="J162" s="16" t="n">
        <f aca="false">G162*H162</f>
        <v>53520</v>
      </c>
      <c r="K162" s="16" t="n">
        <f aca="false">(H162-I162)*G162</f>
        <v>2040.00000000001</v>
      </c>
      <c r="L162" s="17" t="n">
        <f aca="false">IF(I162=0,0,H162/I162-1)</f>
        <v>0.0396270396270397</v>
      </c>
      <c r="M162" s="14" t="n">
        <v>1</v>
      </c>
      <c r="N162" s="18" t="n">
        <v>0.01</v>
      </c>
    </row>
    <row r="163" customFormat="false" ht="15" hidden="false" customHeight="false" outlineLevel="0" collapsed="false">
      <c r="A163" s="12" t="s">
        <v>222</v>
      </c>
      <c r="B163" s="13" t="n">
        <v>45707</v>
      </c>
      <c r="C163" s="12" t="str">
        <f aca="false">TEXT(B163,"yyyy-mm")</f>
        <v>2025-02</v>
      </c>
      <c r="D163" s="12" t="s">
        <v>39</v>
      </c>
      <c r="E163" s="12" t="s">
        <v>46</v>
      </c>
      <c r="F163" s="12" t="s">
        <v>47</v>
      </c>
      <c r="G163" s="14" t="n">
        <v>1000</v>
      </c>
      <c r="H163" s="15" t="n">
        <v>17.25</v>
      </c>
      <c r="I163" s="15" t="n">
        <v>16.76</v>
      </c>
      <c r="J163" s="16" t="n">
        <f aca="false">G163*H163</f>
        <v>17250</v>
      </c>
      <c r="K163" s="16" t="n">
        <f aca="false">(H163-I163)*G163</f>
        <v>489.999999999998</v>
      </c>
      <c r="L163" s="17" t="n">
        <f aca="false">IF(I163=0,0,H163/I163-1)</f>
        <v>0.0292362768496419</v>
      </c>
      <c r="M163" s="14" t="n">
        <v>1</v>
      </c>
      <c r="N163" s="18" t="n">
        <v>0.007</v>
      </c>
    </row>
    <row r="164" customFormat="false" ht="15" hidden="false" customHeight="false" outlineLevel="0" collapsed="false">
      <c r="A164" s="12" t="s">
        <v>223</v>
      </c>
      <c r="B164" s="13" t="n">
        <v>45707</v>
      </c>
      <c r="C164" s="12" t="str">
        <f aca="false">TEXT(B164,"yyyy-mm")</f>
        <v>2025-02</v>
      </c>
      <c r="D164" s="12" t="s">
        <v>61</v>
      </c>
      <c r="E164" s="12" t="s">
        <v>43</v>
      </c>
      <c r="F164" s="12" t="s">
        <v>44</v>
      </c>
      <c r="G164" s="14" t="n">
        <v>1600</v>
      </c>
      <c r="H164" s="15" t="n">
        <v>14.33</v>
      </c>
      <c r="I164" s="15" t="n">
        <v>13.88</v>
      </c>
      <c r="J164" s="16" t="n">
        <f aca="false">G164*H164</f>
        <v>22928</v>
      </c>
      <c r="K164" s="16" t="n">
        <f aca="false">(H164-I164)*G164</f>
        <v>719.999999999999</v>
      </c>
      <c r="L164" s="17" t="n">
        <f aca="false">IF(I164=0,0,H164/I164-1)</f>
        <v>0.0324207492795388</v>
      </c>
      <c r="M164" s="14" t="n">
        <v>1</v>
      </c>
      <c r="N164" s="18" t="n">
        <v>0.01</v>
      </c>
    </row>
    <row r="165" customFormat="false" ht="15" hidden="false" customHeight="false" outlineLevel="0" collapsed="false">
      <c r="A165" s="12" t="s">
        <v>224</v>
      </c>
      <c r="B165" s="13" t="n">
        <v>45707</v>
      </c>
      <c r="C165" s="12" t="str">
        <f aca="false">TEXT(B165,"yyyy-mm")</f>
        <v>2025-02</v>
      </c>
      <c r="D165" s="12" t="s">
        <v>58</v>
      </c>
      <c r="E165" s="12" t="s">
        <v>40</v>
      </c>
      <c r="F165" s="12" t="s">
        <v>41</v>
      </c>
      <c r="G165" s="14" t="n">
        <v>1600</v>
      </c>
      <c r="H165" s="15" t="n">
        <v>26.19</v>
      </c>
      <c r="I165" s="15" t="n">
        <v>26.45</v>
      </c>
      <c r="J165" s="16" t="n">
        <f aca="false">G165*H165</f>
        <v>41904</v>
      </c>
      <c r="K165" s="16" t="n">
        <f aca="false">(H165-I165)*G165</f>
        <v>-415.999999999997</v>
      </c>
      <c r="L165" s="17" t="n">
        <f aca="false">IF(I165=0,0,H165/I165-1)</f>
        <v>-0.00982986767485816</v>
      </c>
      <c r="M165" s="14" t="n">
        <v>1</v>
      </c>
      <c r="N165" s="18" t="n">
        <v>0.017</v>
      </c>
    </row>
    <row r="166" customFormat="false" ht="15" hidden="false" customHeight="false" outlineLevel="0" collapsed="false">
      <c r="A166" s="12" t="s">
        <v>225</v>
      </c>
      <c r="B166" s="13" t="n">
        <v>45708</v>
      </c>
      <c r="C166" s="12" t="str">
        <f aca="false">TEXT(B166,"yyyy-mm")</f>
        <v>2025-02</v>
      </c>
      <c r="D166" s="12" t="s">
        <v>39</v>
      </c>
      <c r="E166" s="12" t="s">
        <v>46</v>
      </c>
      <c r="F166" s="12" t="s">
        <v>47</v>
      </c>
      <c r="G166" s="14" t="n">
        <v>800</v>
      </c>
      <c r="H166" s="15" t="n">
        <v>17.73</v>
      </c>
      <c r="I166" s="15" t="n">
        <v>16.77</v>
      </c>
      <c r="J166" s="16" t="n">
        <f aca="false">G166*H166</f>
        <v>14184</v>
      </c>
      <c r="K166" s="16" t="n">
        <f aca="false">(H166-I166)*G166</f>
        <v>768.000000000001</v>
      </c>
      <c r="L166" s="17" t="n">
        <f aca="false">IF(I166=0,0,H166/I166-1)</f>
        <v>0.0572450805008946</v>
      </c>
      <c r="M166" s="14" t="n">
        <v>1</v>
      </c>
      <c r="N166" s="18" t="n">
        <v>0.009</v>
      </c>
    </row>
    <row r="167" customFormat="false" ht="15" hidden="false" customHeight="false" outlineLevel="0" collapsed="false">
      <c r="A167" s="12" t="s">
        <v>226</v>
      </c>
      <c r="B167" s="13" t="n">
        <v>45709</v>
      </c>
      <c r="C167" s="12" t="str">
        <f aca="false">TEXT(B167,"yyyy-mm")</f>
        <v>2025-02</v>
      </c>
      <c r="D167" s="12" t="s">
        <v>61</v>
      </c>
      <c r="E167" s="12" t="s">
        <v>43</v>
      </c>
      <c r="F167" s="12" t="s">
        <v>44</v>
      </c>
      <c r="G167" s="14" t="n">
        <v>1200</v>
      </c>
      <c r="H167" s="15" t="n">
        <v>14.56</v>
      </c>
      <c r="I167" s="15" t="n">
        <v>13.8</v>
      </c>
      <c r="J167" s="16" t="n">
        <f aca="false">G167*H167</f>
        <v>17472</v>
      </c>
      <c r="K167" s="16" t="n">
        <f aca="false">(H167-I167)*G167</f>
        <v>912</v>
      </c>
      <c r="L167" s="17" t="n">
        <f aca="false">IF(I167=0,0,H167/I167-1)</f>
        <v>0.0550724637681159</v>
      </c>
      <c r="M167" s="14" t="n">
        <v>1</v>
      </c>
      <c r="N167" s="18" t="n">
        <v>0.011</v>
      </c>
    </row>
    <row r="168" customFormat="false" ht="15" hidden="false" customHeight="false" outlineLevel="0" collapsed="false">
      <c r="A168" s="12" t="s">
        <v>227</v>
      </c>
      <c r="B168" s="13" t="n">
        <v>45709</v>
      </c>
      <c r="C168" s="12" t="str">
        <f aca="false">TEXT(B168,"yyyy-mm")</f>
        <v>2025-02</v>
      </c>
      <c r="D168" s="12" t="s">
        <v>75</v>
      </c>
      <c r="E168" s="12" t="s">
        <v>76</v>
      </c>
      <c r="F168" s="12" t="s">
        <v>77</v>
      </c>
      <c r="G168" s="14" t="n">
        <v>1200</v>
      </c>
      <c r="H168" s="15" t="n">
        <v>22.1</v>
      </c>
      <c r="I168" s="15" t="n">
        <v>22</v>
      </c>
      <c r="J168" s="16" t="n">
        <f aca="false">G168*H168</f>
        <v>26520</v>
      </c>
      <c r="K168" s="16" t="n">
        <f aca="false">(H168-I168)*G168</f>
        <v>120.000000000002</v>
      </c>
      <c r="L168" s="17" t="n">
        <f aca="false">IF(I168=0,0,H168/I168-1)</f>
        <v>0.00454545454545463</v>
      </c>
      <c r="M168" s="14" t="n">
        <v>1</v>
      </c>
      <c r="N168" s="18" t="n">
        <v>0.029</v>
      </c>
    </row>
    <row r="169" customFormat="false" ht="15" hidden="false" customHeight="false" outlineLevel="0" collapsed="false">
      <c r="A169" s="12" t="s">
        <v>228</v>
      </c>
      <c r="B169" s="13" t="n">
        <v>45709</v>
      </c>
      <c r="C169" s="12" t="str">
        <f aca="false">TEXT(B169,"yyyy-mm")</f>
        <v>2025-02</v>
      </c>
      <c r="D169" s="12" t="s">
        <v>53</v>
      </c>
      <c r="E169" s="12" t="s">
        <v>54</v>
      </c>
      <c r="F169" s="12" t="s">
        <v>55</v>
      </c>
      <c r="G169" s="14" t="n">
        <v>800</v>
      </c>
      <c r="H169" s="15" t="n">
        <v>14.12</v>
      </c>
      <c r="I169" s="15" t="n">
        <v>13.7</v>
      </c>
      <c r="J169" s="16" t="n">
        <f aca="false">G169*H169</f>
        <v>11296</v>
      </c>
      <c r="K169" s="16" t="n">
        <f aca="false">(H169-I169)*G169</f>
        <v>336</v>
      </c>
      <c r="L169" s="17" t="n">
        <f aca="false">IF(I169=0,0,H169/I169-1)</f>
        <v>0.0306569343065692</v>
      </c>
      <c r="M169" s="14" t="n">
        <v>1</v>
      </c>
      <c r="N169" s="18" t="n">
        <v>0.014</v>
      </c>
    </row>
    <row r="170" customFormat="false" ht="15" hidden="false" customHeight="false" outlineLevel="0" collapsed="false">
      <c r="A170" s="12" t="s">
        <v>229</v>
      </c>
      <c r="B170" s="13" t="n">
        <v>45709</v>
      </c>
      <c r="C170" s="12" t="str">
        <f aca="false">TEXT(B170,"yyyy-mm")</f>
        <v>2025-02</v>
      </c>
      <c r="D170" s="12" t="s">
        <v>75</v>
      </c>
      <c r="E170" s="12" t="s">
        <v>76</v>
      </c>
      <c r="F170" s="12" t="s">
        <v>77</v>
      </c>
      <c r="G170" s="14" t="n">
        <v>1600</v>
      </c>
      <c r="H170" s="15" t="n">
        <v>21.78</v>
      </c>
      <c r="I170" s="15" t="n">
        <v>21.65</v>
      </c>
      <c r="J170" s="16" t="n">
        <f aca="false">G170*H170</f>
        <v>34848</v>
      </c>
      <c r="K170" s="16" t="n">
        <f aca="false">(H170-I170)*G170</f>
        <v>208.000000000004</v>
      </c>
      <c r="L170" s="17" t="n">
        <f aca="false">IF(I170=0,0,H170/I170-1)</f>
        <v>0.00600461893764437</v>
      </c>
      <c r="M170" s="14" t="n">
        <v>1</v>
      </c>
      <c r="N170" s="18" t="n">
        <v>0.005</v>
      </c>
    </row>
    <row r="171" customFormat="false" ht="15" hidden="false" customHeight="false" outlineLevel="0" collapsed="false">
      <c r="A171" s="12" t="s">
        <v>230</v>
      </c>
      <c r="B171" s="13" t="n">
        <v>45710</v>
      </c>
      <c r="C171" s="12" t="str">
        <f aca="false">TEXT(B171,"yyyy-mm")</f>
        <v>2025-02</v>
      </c>
      <c r="D171" s="12" t="s">
        <v>80</v>
      </c>
      <c r="E171" s="12" t="s">
        <v>76</v>
      </c>
      <c r="F171" s="12" t="s">
        <v>77</v>
      </c>
      <c r="G171" s="14" t="n">
        <v>800</v>
      </c>
      <c r="H171" s="15" t="n">
        <v>21.42</v>
      </c>
      <c r="I171" s="15" t="n">
        <v>20.81</v>
      </c>
      <c r="J171" s="16" t="n">
        <f aca="false">G171*H171</f>
        <v>17136</v>
      </c>
      <c r="K171" s="16" t="n">
        <f aca="false">(H171-I171)*G171</f>
        <v>488.000000000002</v>
      </c>
      <c r="L171" s="17" t="n">
        <f aca="false">IF(I171=0,0,H171/I171-1)</f>
        <v>0.0293128303700145</v>
      </c>
      <c r="M171" s="14" t="n">
        <v>1</v>
      </c>
      <c r="N171" s="18" t="n">
        <v>0.022</v>
      </c>
    </row>
    <row r="172" customFormat="false" ht="15" hidden="false" customHeight="false" outlineLevel="0" collapsed="false">
      <c r="A172" s="12" t="s">
        <v>231</v>
      </c>
      <c r="B172" s="13" t="n">
        <v>45711</v>
      </c>
      <c r="C172" s="12" t="str">
        <f aca="false">TEXT(B172,"yyyy-mm")</f>
        <v>2025-02</v>
      </c>
      <c r="D172" s="12" t="s">
        <v>35</v>
      </c>
      <c r="E172" s="12" t="s">
        <v>36</v>
      </c>
      <c r="F172" s="12" t="s">
        <v>37</v>
      </c>
      <c r="G172" s="14" t="n">
        <v>1600</v>
      </c>
      <c r="H172" s="15" t="n">
        <v>15.22</v>
      </c>
      <c r="I172" s="15" t="n">
        <v>15.24</v>
      </c>
      <c r="J172" s="16" t="n">
        <f aca="false">G172*H172</f>
        <v>24352</v>
      </c>
      <c r="K172" s="16" t="n">
        <f aca="false">(H172-I172)*G172</f>
        <v>-31.9999999999993</v>
      </c>
      <c r="L172" s="17" t="n">
        <f aca="false">IF(I172=0,0,H172/I172-1)</f>
        <v>-0.00131233595800517</v>
      </c>
      <c r="M172" s="14" t="n">
        <v>1</v>
      </c>
      <c r="N172" s="18" t="n">
        <v>0.008</v>
      </c>
    </row>
    <row r="173" customFormat="false" ht="15" hidden="false" customHeight="false" outlineLevel="0" collapsed="false">
      <c r="A173" s="12" t="s">
        <v>232</v>
      </c>
      <c r="B173" s="13" t="n">
        <v>45711</v>
      </c>
      <c r="C173" s="12" t="str">
        <f aca="false">TEXT(B173,"yyyy-mm")</f>
        <v>2025-02</v>
      </c>
      <c r="D173" s="12" t="s">
        <v>39</v>
      </c>
      <c r="E173" s="12" t="s">
        <v>40</v>
      </c>
      <c r="F173" s="12" t="s">
        <v>41</v>
      </c>
      <c r="G173" s="14" t="n">
        <v>1200</v>
      </c>
      <c r="H173" s="15" t="n">
        <v>16.61</v>
      </c>
      <c r="I173" s="15" t="n">
        <v>16.74</v>
      </c>
      <c r="J173" s="16" t="n">
        <f aca="false">G173*H173</f>
        <v>19932</v>
      </c>
      <c r="K173" s="16" t="n">
        <f aca="false">(H173-I173)*G173</f>
        <v>-155.999999999999</v>
      </c>
      <c r="L173" s="17" t="n">
        <f aca="false">IF(I173=0,0,H173/I173-1)</f>
        <v>-0.00776583034647549</v>
      </c>
      <c r="M173" s="14" t="n">
        <v>1</v>
      </c>
      <c r="N173" s="18" t="n">
        <v>0.01</v>
      </c>
    </row>
    <row r="174" customFormat="false" ht="15" hidden="false" customHeight="false" outlineLevel="0" collapsed="false">
      <c r="A174" s="12" t="s">
        <v>233</v>
      </c>
      <c r="B174" s="13" t="n">
        <v>45711</v>
      </c>
      <c r="C174" s="12" t="str">
        <f aca="false">TEXT(B174,"yyyy-mm")</f>
        <v>2025-02</v>
      </c>
      <c r="D174" s="12" t="s">
        <v>111</v>
      </c>
      <c r="E174" s="12" t="s">
        <v>76</v>
      </c>
      <c r="F174" s="12" t="s">
        <v>77</v>
      </c>
      <c r="G174" s="14" t="n">
        <v>600</v>
      </c>
      <c r="H174" s="15" t="n">
        <v>17.32</v>
      </c>
      <c r="I174" s="15" t="n">
        <v>17.77</v>
      </c>
      <c r="J174" s="16" t="n">
        <f aca="false">G174*H174</f>
        <v>10392</v>
      </c>
      <c r="K174" s="16" t="n">
        <f aca="false">(H174-I174)*G174</f>
        <v>-270</v>
      </c>
      <c r="L174" s="17" t="n">
        <f aca="false">IF(I174=0,0,H174/I174-1)</f>
        <v>-0.0253235790658413</v>
      </c>
      <c r="M174" s="14" t="n">
        <v>1</v>
      </c>
      <c r="N174" s="18" t="n">
        <v>0.011</v>
      </c>
    </row>
    <row r="175" customFormat="false" ht="15" hidden="false" customHeight="false" outlineLevel="0" collapsed="false">
      <c r="A175" s="12" t="s">
        <v>234</v>
      </c>
      <c r="B175" s="13" t="n">
        <v>45712</v>
      </c>
      <c r="C175" s="12" t="str">
        <f aca="false">TEXT(B175,"yyyy-mm")</f>
        <v>2025-02</v>
      </c>
      <c r="D175" s="12" t="s">
        <v>35</v>
      </c>
      <c r="E175" s="12" t="s">
        <v>43</v>
      </c>
      <c r="F175" s="12" t="s">
        <v>44</v>
      </c>
      <c r="G175" s="14" t="n">
        <v>3200</v>
      </c>
      <c r="H175" s="15" t="n">
        <v>16.75</v>
      </c>
      <c r="I175" s="15" t="n">
        <v>15.68</v>
      </c>
      <c r="J175" s="16" t="n">
        <f aca="false">G175*H175</f>
        <v>53600</v>
      </c>
      <c r="K175" s="16" t="n">
        <f aca="false">(H175-I175)*G175</f>
        <v>3424</v>
      </c>
      <c r="L175" s="17" t="n">
        <f aca="false">IF(I175=0,0,H175/I175-1)</f>
        <v>0.0682397959183674</v>
      </c>
      <c r="M175" s="14" t="n">
        <v>1</v>
      </c>
      <c r="N175" s="18" t="n">
        <v>0.008</v>
      </c>
    </row>
    <row r="176" customFormat="false" ht="15" hidden="false" customHeight="false" outlineLevel="0" collapsed="false">
      <c r="A176" s="12" t="s">
        <v>235</v>
      </c>
      <c r="B176" s="13" t="n">
        <v>45712</v>
      </c>
      <c r="C176" s="12" t="str">
        <f aca="false">TEXT(B176,"yyyy-mm")</f>
        <v>2025-02</v>
      </c>
      <c r="D176" s="12" t="s">
        <v>58</v>
      </c>
      <c r="E176" s="12" t="s">
        <v>59</v>
      </c>
      <c r="F176" s="12" t="s">
        <v>55</v>
      </c>
      <c r="G176" s="14" t="n">
        <v>1200</v>
      </c>
      <c r="H176" s="15" t="n">
        <v>28.79</v>
      </c>
      <c r="I176" s="15" t="n">
        <v>26.64</v>
      </c>
      <c r="J176" s="16" t="n">
        <f aca="false">G176*H176</f>
        <v>34548</v>
      </c>
      <c r="K176" s="16" t="n">
        <f aca="false">(H176-I176)*G176</f>
        <v>2580</v>
      </c>
      <c r="L176" s="17" t="n">
        <f aca="false">IF(I176=0,0,H176/I176-1)</f>
        <v>0.0807057057057057</v>
      </c>
      <c r="M176" s="14" t="n">
        <v>1</v>
      </c>
      <c r="N176" s="18" t="n">
        <v>0.025</v>
      </c>
    </row>
    <row r="177" customFormat="false" ht="15" hidden="false" customHeight="false" outlineLevel="0" collapsed="false">
      <c r="A177" s="12" t="s">
        <v>236</v>
      </c>
      <c r="B177" s="13" t="n">
        <v>45712</v>
      </c>
      <c r="C177" s="12" t="str">
        <f aca="false">TEXT(B177,"yyyy-mm")</f>
        <v>2025-02</v>
      </c>
      <c r="D177" s="12" t="s">
        <v>35</v>
      </c>
      <c r="E177" s="12" t="s">
        <v>36</v>
      </c>
      <c r="F177" s="12" t="s">
        <v>37</v>
      </c>
      <c r="G177" s="14" t="n">
        <v>3200</v>
      </c>
      <c r="H177" s="15" t="n">
        <v>15.83</v>
      </c>
      <c r="I177" s="15" t="n">
        <v>15.77</v>
      </c>
      <c r="J177" s="16" t="n">
        <f aca="false">G177*H177</f>
        <v>50656</v>
      </c>
      <c r="K177" s="16" t="n">
        <f aca="false">(H177-I177)*G177</f>
        <v>192.000000000002</v>
      </c>
      <c r="L177" s="17" t="n">
        <f aca="false">IF(I177=0,0,H177/I177-1)</f>
        <v>0.0038046924540267</v>
      </c>
      <c r="M177" s="14" t="n">
        <v>1</v>
      </c>
      <c r="N177" s="18" t="n">
        <v>0.007</v>
      </c>
    </row>
    <row r="178" customFormat="false" ht="15" hidden="false" customHeight="false" outlineLevel="0" collapsed="false">
      <c r="A178" s="12" t="s">
        <v>237</v>
      </c>
      <c r="B178" s="13" t="n">
        <v>45712</v>
      </c>
      <c r="C178" s="12" t="str">
        <f aca="false">TEXT(B178,"yyyy-mm")</f>
        <v>2025-02</v>
      </c>
      <c r="D178" s="12" t="s">
        <v>80</v>
      </c>
      <c r="E178" s="12" t="s">
        <v>92</v>
      </c>
      <c r="F178" s="12" t="s">
        <v>93</v>
      </c>
      <c r="G178" s="14" t="n">
        <v>800</v>
      </c>
      <c r="H178" s="15" t="n">
        <v>20.17</v>
      </c>
      <c r="I178" s="15" t="n">
        <v>21.37</v>
      </c>
      <c r="J178" s="16" t="n">
        <f aca="false">G178*H178</f>
        <v>16136</v>
      </c>
      <c r="K178" s="16" t="n">
        <f aca="false">(H178-I178)*G178</f>
        <v>-959.999999999999</v>
      </c>
      <c r="L178" s="17" t="n">
        <f aca="false">IF(I178=0,0,H178/I178-1)</f>
        <v>-0.0561534861956012</v>
      </c>
      <c r="M178" s="14" t="n">
        <v>1</v>
      </c>
      <c r="N178" s="18" t="n">
        <v>0.019</v>
      </c>
    </row>
    <row r="179" customFormat="false" ht="15" hidden="false" customHeight="false" outlineLevel="0" collapsed="false">
      <c r="A179" s="12" t="s">
        <v>238</v>
      </c>
      <c r="B179" s="13" t="n">
        <v>45712</v>
      </c>
      <c r="C179" s="12" t="str">
        <f aca="false">TEXT(B179,"yyyy-mm")</f>
        <v>2025-02</v>
      </c>
      <c r="D179" s="12" t="s">
        <v>111</v>
      </c>
      <c r="E179" s="12" t="s">
        <v>92</v>
      </c>
      <c r="F179" s="12" t="s">
        <v>93</v>
      </c>
      <c r="G179" s="14" t="n">
        <v>800</v>
      </c>
      <c r="H179" s="15" t="n">
        <v>17.19</v>
      </c>
      <c r="I179" s="15" t="n">
        <v>18.18</v>
      </c>
      <c r="J179" s="16" t="n">
        <f aca="false">G179*H179</f>
        <v>13752</v>
      </c>
      <c r="K179" s="16" t="n">
        <f aca="false">(H179-I179)*G179</f>
        <v>-791.999999999999</v>
      </c>
      <c r="L179" s="17" t="n">
        <f aca="false">IF(I179=0,0,H179/I179-1)</f>
        <v>-0.0544554455445544</v>
      </c>
      <c r="M179" s="14" t="n">
        <v>1</v>
      </c>
      <c r="N179" s="18" t="n">
        <v>0.039</v>
      </c>
    </row>
    <row r="180" customFormat="false" ht="15" hidden="false" customHeight="false" outlineLevel="0" collapsed="false">
      <c r="A180" s="12" t="s">
        <v>239</v>
      </c>
      <c r="B180" s="13" t="n">
        <v>45712</v>
      </c>
      <c r="C180" s="12" t="str">
        <f aca="false">TEXT(B180,"yyyy-mm")</f>
        <v>2025-02</v>
      </c>
      <c r="D180" s="12" t="s">
        <v>35</v>
      </c>
      <c r="E180" s="12" t="s">
        <v>43</v>
      </c>
      <c r="F180" s="12" t="s">
        <v>44</v>
      </c>
      <c r="G180" s="14" t="n">
        <v>1600</v>
      </c>
      <c r="H180" s="15" t="n">
        <v>16.06</v>
      </c>
      <c r="I180" s="15" t="n">
        <v>15.4</v>
      </c>
      <c r="J180" s="16" t="n">
        <f aca="false">G180*H180</f>
        <v>25696</v>
      </c>
      <c r="K180" s="16" t="n">
        <f aca="false">(H180-I180)*G180</f>
        <v>1056</v>
      </c>
      <c r="L180" s="17" t="n">
        <f aca="false">IF(I180=0,0,H180/I180-1)</f>
        <v>0.0428571428571427</v>
      </c>
      <c r="M180" s="14" t="n">
        <v>1</v>
      </c>
      <c r="N180" s="18" t="n">
        <v>0.014</v>
      </c>
    </row>
    <row r="181" customFormat="false" ht="15" hidden="false" customHeight="false" outlineLevel="0" collapsed="false">
      <c r="A181" s="12" t="s">
        <v>240</v>
      </c>
      <c r="B181" s="13" t="n">
        <v>45712</v>
      </c>
      <c r="C181" s="12" t="str">
        <f aca="false">TEXT(B181,"yyyy-mm")</f>
        <v>2025-02</v>
      </c>
      <c r="D181" s="12" t="s">
        <v>58</v>
      </c>
      <c r="E181" s="12" t="s">
        <v>59</v>
      </c>
      <c r="F181" s="12" t="s">
        <v>55</v>
      </c>
      <c r="G181" s="14" t="n">
        <v>1200</v>
      </c>
      <c r="H181" s="15" t="n">
        <v>27.98</v>
      </c>
      <c r="I181" s="15" t="n">
        <v>25.82</v>
      </c>
      <c r="J181" s="16" t="n">
        <f aca="false">G181*H181</f>
        <v>33576</v>
      </c>
      <c r="K181" s="16" t="n">
        <f aca="false">(H181-I181)*G181</f>
        <v>2592</v>
      </c>
      <c r="L181" s="17" t="n">
        <f aca="false">IF(I181=0,0,H181/I181-1)</f>
        <v>0.0836560805577071</v>
      </c>
      <c r="M181" s="14" t="n">
        <v>1</v>
      </c>
      <c r="N181" s="18" t="n">
        <v>0.015</v>
      </c>
    </row>
    <row r="182" customFormat="false" ht="15" hidden="false" customHeight="false" outlineLevel="0" collapsed="false">
      <c r="A182" s="12" t="s">
        <v>241</v>
      </c>
      <c r="B182" s="13" t="n">
        <v>45713</v>
      </c>
      <c r="C182" s="12" t="str">
        <f aca="false">TEXT(B182,"yyyy-mm")</f>
        <v>2025-02</v>
      </c>
      <c r="D182" s="12" t="s">
        <v>75</v>
      </c>
      <c r="E182" s="12" t="s">
        <v>40</v>
      </c>
      <c r="F182" s="12" t="s">
        <v>41</v>
      </c>
      <c r="G182" s="14" t="n">
        <v>400</v>
      </c>
      <c r="H182" s="15" t="n">
        <v>21.41</v>
      </c>
      <c r="I182" s="15" t="n">
        <v>21.62</v>
      </c>
      <c r="J182" s="16" t="n">
        <f aca="false">G182*H182</f>
        <v>8564</v>
      </c>
      <c r="K182" s="16" t="n">
        <f aca="false">(H182-I182)*G182</f>
        <v>-84.0000000000003</v>
      </c>
      <c r="L182" s="17" t="n">
        <f aca="false">IF(I182=0,0,H182/I182-1)</f>
        <v>-0.00971322849213696</v>
      </c>
      <c r="M182" s="14" t="n">
        <v>1</v>
      </c>
      <c r="N182" s="18" t="n">
        <v>0.02</v>
      </c>
    </row>
    <row r="183" customFormat="false" ht="15" hidden="false" customHeight="false" outlineLevel="0" collapsed="false">
      <c r="A183" s="12" t="s">
        <v>242</v>
      </c>
      <c r="B183" s="13" t="n">
        <v>45713</v>
      </c>
      <c r="C183" s="12" t="str">
        <f aca="false">TEXT(B183,"yyyy-mm")</f>
        <v>2025-02</v>
      </c>
      <c r="D183" s="12" t="s">
        <v>53</v>
      </c>
      <c r="E183" s="12" t="s">
        <v>49</v>
      </c>
      <c r="F183" s="12" t="s">
        <v>50</v>
      </c>
      <c r="G183" s="14" t="n">
        <v>1600</v>
      </c>
      <c r="H183" s="15" t="n">
        <v>13.54</v>
      </c>
      <c r="I183" s="15" t="n">
        <v>13.99</v>
      </c>
      <c r="J183" s="16" t="n">
        <f aca="false">G183*H183</f>
        <v>21664</v>
      </c>
      <c r="K183" s="16" t="n">
        <f aca="false">(H183-I183)*G183</f>
        <v>-720.000000000002</v>
      </c>
      <c r="L183" s="17" t="n">
        <f aca="false">IF(I183=0,0,H183/I183-1)</f>
        <v>-0.0321658327376698</v>
      </c>
      <c r="M183" s="14" t="n">
        <v>0</v>
      </c>
      <c r="N183" s="18" t="n">
        <v>0.04</v>
      </c>
    </row>
    <row r="184" customFormat="false" ht="15" hidden="false" customHeight="false" outlineLevel="0" collapsed="false">
      <c r="A184" s="12" t="s">
        <v>243</v>
      </c>
      <c r="B184" s="13" t="n">
        <v>45714</v>
      </c>
      <c r="C184" s="12" t="str">
        <f aca="false">TEXT(B184,"yyyy-mm")</f>
        <v>2025-02</v>
      </c>
      <c r="D184" s="12" t="s">
        <v>80</v>
      </c>
      <c r="E184" s="12" t="s">
        <v>81</v>
      </c>
      <c r="F184" s="12" t="s">
        <v>82</v>
      </c>
      <c r="G184" s="14" t="n">
        <v>1200</v>
      </c>
      <c r="H184" s="15" t="n">
        <v>20.19</v>
      </c>
      <c r="I184" s="15" t="n">
        <v>21.01</v>
      </c>
      <c r="J184" s="16" t="n">
        <f aca="false">G184*H184</f>
        <v>24228</v>
      </c>
      <c r="K184" s="16" t="n">
        <f aca="false">(H184-I184)*G184</f>
        <v>-984</v>
      </c>
      <c r="L184" s="17" t="n">
        <f aca="false">IF(I184=0,0,H184/I184-1)</f>
        <v>-0.0390290337934317</v>
      </c>
      <c r="M184" s="14" t="n">
        <v>1</v>
      </c>
      <c r="N184" s="18" t="n">
        <v>0.023</v>
      </c>
    </row>
    <row r="185" customFormat="false" ht="15" hidden="false" customHeight="false" outlineLevel="0" collapsed="false">
      <c r="A185" s="12" t="s">
        <v>244</v>
      </c>
      <c r="B185" s="13" t="n">
        <v>45714</v>
      </c>
      <c r="C185" s="12" t="str">
        <f aca="false">TEXT(B185,"yyyy-mm")</f>
        <v>2025-02</v>
      </c>
      <c r="D185" s="12" t="s">
        <v>58</v>
      </c>
      <c r="E185" s="12" t="s">
        <v>59</v>
      </c>
      <c r="F185" s="12" t="s">
        <v>55</v>
      </c>
      <c r="G185" s="14" t="n">
        <v>600</v>
      </c>
      <c r="H185" s="15" t="n">
        <v>26.97</v>
      </c>
      <c r="I185" s="15" t="n">
        <v>25.75</v>
      </c>
      <c r="J185" s="16" t="n">
        <f aca="false">G185*H185</f>
        <v>16182</v>
      </c>
      <c r="K185" s="16" t="n">
        <f aca="false">(H185-I185)*G185</f>
        <v>731.999999999999</v>
      </c>
      <c r="L185" s="17" t="n">
        <f aca="false">IF(I185=0,0,H185/I185-1)</f>
        <v>0.047378640776699</v>
      </c>
      <c r="M185" s="14" t="n">
        <v>1</v>
      </c>
      <c r="N185" s="18" t="n">
        <v>0.021</v>
      </c>
    </row>
    <row r="186" customFormat="false" ht="15" hidden="false" customHeight="false" outlineLevel="0" collapsed="false">
      <c r="A186" s="12" t="s">
        <v>245</v>
      </c>
      <c r="B186" s="13" t="n">
        <v>45714</v>
      </c>
      <c r="C186" s="12" t="str">
        <f aca="false">TEXT(B186,"yyyy-mm")</f>
        <v>2025-02</v>
      </c>
      <c r="D186" s="12" t="s">
        <v>61</v>
      </c>
      <c r="E186" s="12" t="s">
        <v>43</v>
      </c>
      <c r="F186" s="12" t="s">
        <v>44</v>
      </c>
      <c r="G186" s="14" t="n">
        <v>600</v>
      </c>
      <c r="H186" s="15" t="n">
        <v>14.82</v>
      </c>
      <c r="I186" s="15" t="n">
        <v>13.94</v>
      </c>
      <c r="J186" s="16" t="n">
        <f aca="false">G186*H186</f>
        <v>8892</v>
      </c>
      <c r="K186" s="16" t="n">
        <f aca="false">(H186-I186)*G186</f>
        <v>528.000000000001</v>
      </c>
      <c r="L186" s="17" t="n">
        <f aca="false">IF(I186=0,0,H186/I186-1)</f>
        <v>0.0631276901004305</v>
      </c>
      <c r="M186" s="14" t="n">
        <v>1</v>
      </c>
      <c r="N186" s="18" t="n">
        <v>0.016</v>
      </c>
    </row>
    <row r="187" customFormat="false" ht="15" hidden="false" customHeight="false" outlineLevel="0" collapsed="false">
      <c r="A187" s="12" t="s">
        <v>246</v>
      </c>
      <c r="B187" s="13" t="n">
        <v>45714</v>
      </c>
      <c r="C187" s="12" t="str">
        <f aca="false">TEXT(B187,"yyyy-mm")</f>
        <v>2025-02</v>
      </c>
      <c r="D187" s="12" t="s">
        <v>53</v>
      </c>
      <c r="E187" s="12" t="s">
        <v>54</v>
      </c>
      <c r="F187" s="12" t="s">
        <v>55</v>
      </c>
      <c r="G187" s="14" t="n">
        <v>1000</v>
      </c>
      <c r="H187" s="15" t="n">
        <v>14.54</v>
      </c>
      <c r="I187" s="15" t="n">
        <v>14.04</v>
      </c>
      <c r="J187" s="16" t="n">
        <f aca="false">G187*H187</f>
        <v>14540</v>
      </c>
      <c r="K187" s="16" t="n">
        <f aca="false">(H187-I187)*G187</f>
        <v>500</v>
      </c>
      <c r="L187" s="17" t="n">
        <f aca="false">IF(I187=0,0,H187/I187-1)</f>
        <v>0.0356125356125356</v>
      </c>
      <c r="M187" s="14" t="n">
        <v>1</v>
      </c>
      <c r="N187" s="18" t="n">
        <v>0.028</v>
      </c>
    </row>
    <row r="188" customFormat="false" ht="15" hidden="false" customHeight="false" outlineLevel="0" collapsed="false">
      <c r="A188" s="12" t="s">
        <v>247</v>
      </c>
      <c r="B188" s="13" t="n">
        <v>45714</v>
      </c>
      <c r="C188" s="12" t="str">
        <f aca="false">TEXT(B188,"yyyy-mm")</f>
        <v>2025-02</v>
      </c>
      <c r="D188" s="12" t="s">
        <v>53</v>
      </c>
      <c r="E188" s="12" t="s">
        <v>54</v>
      </c>
      <c r="F188" s="12" t="s">
        <v>55</v>
      </c>
      <c r="G188" s="14" t="n">
        <v>600</v>
      </c>
      <c r="H188" s="15" t="n">
        <v>14.53</v>
      </c>
      <c r="I188" s="15" t="n">
        <v>13.76</v>
      </c>
      <c r="J188" s="16" t="n">
        <f aca="false">G188*H188</f>
        <v>8718</v>
      </c>
      <c r="K188" s="16" t="n">
        <f aca="false">(H188-I188)*G188</f>
        <v>462</v>
      </c>
      <c r="L188" s="17" t="n">
        <f aca="false">IF(I188=0,0,H188/I188-1)</f>
        <v>0.0559593023255813</v>
      </c>
      <c r="M188" s="14" t="n">
        <v>1</v>
      </c>
      <c r="N188" s="18" t="n">
        <v>0.015</v>
      </c>
    </row>
    <row r="189" customFormat="false" ht="15" hidden="false" customHeight="false" outlineLevel="0" collapsed="false">
      <c r="A189" s="12" t="s">
        <v>248</v>
      </c>
      <c r="B189" s="13" t="n">
        <v>45715</v>
      </c>
      <c r="C189" s="12" t="str">
        <f aca="false">TEXT(B189,"yyyy-mm")</f>
        <v>2025-02</v>
      </c>
      <c r="D189" s="12" t="s">
        <v>35</v>
      </c>
      <c r="E189" s="12" t="s">
        <v>43</v>
      </c>
      <c r="F189" s="12" t="s">
        <v>44</v>
      </c>
      <c r="G189" s="14" t="n">
        <v>2400</v>
      </c>
      <c r="H189" s="15" t="n">
        <v>16.34</v>
      </c>
      <c r="I189" s="15" t="n">
        <v>15.33</v>
      </c>
      <c r="J189" s="16" t="n">
        <f aca="false">G189*H189</f>
        <v>39216</v>
      </c>
      <c r="K189" s="16" t="n">
        <f aca="false">(H189-I189)*G189</f>
        <v>2424</v>
      </c>
      <c r="L189" s="17" t="n">
        <f aca="false">IF(I189=0,0,H189/I189-1)</f>
        <v>0.0658838878016961</v>
      </c>
      <c r="M189" s="14" t="n">
        <v>1</v>
      </c>
      <c r="N189" s="18" t="n">
        <v>0.008</v>
      </c>
    </row>
    <row r="190" customFormat="false" ht="15" hidden="false" customHeight="false" outlineLevel="0" collapsed="false">
      <c r="A190" s="12" t="s">
        <v>249</v>
      </c>
      <c r="B190" s="13" t="n">
        <v>45715</v>
      </c>
      <c r="C190" s="12" t="str">
        <f aca="false">TEXT(B190,"yyyy-mm")</f>
        <v>2025-02</v>
      </c>
      <c r="D190" s="12" t="s">
        <v>39</v>
      </c>
      <c r="E190" s="12" t="s">
        <v>46</v>
      </c>
      <c r="F190" s="12" t="s">
        <v>47</v>
      </c>
      <c r="G190" s="14" t="n">
        <v>1200</v>
      </c>
      <c r="H190" s="15" t="n">
        <v>17.72</v>
      </c>
      <c r="I190" s="15" t="n">
        <v>16.86</v>
      </c>
      <c r="J190" s="16" t="n">
        <f aca="false">G190*H190</f>
        <v>21264</v>
      </c>
      <c r="K190" s="16" t="n">
        <f aca="false">(H190-I190)*G190</f>
        <v>1032</v>
      </c>
      <c r="L190" s="17" t="n">
        <f aca="false">IF(I190=0,0,H190/I190-1)</f>
        <v>0.0510083036773428</v>
      </c>
      <c r="M190" s="14" t="n">
        <v>1</v>
      </c>
      <c r="N190" s="18" t="n">
        <v>0.007</v>
      </c>
    </row>
    <row r="191" customFormat="false" ht="15" hidden="false" customHeight="false" outlineLevel="0" collapsed="false">
      <c r="A191" s="12" t="s">
        <v>250</v>
      </c>
      <c r="B191" s="13" t="n">
        <v>45715</v>
      </c>
      <c r="C191" s="12" t="str">
        <f aca="false">TEXT(B191,"yyyy-mm")</f>
        <v>2025-02</v>
      </c>
      <c r="D191" s="12" t="s">
        <v>35</v>
      </c>
      <c r="E191" s="12" t="s">
        <v>36</v>
      </c>
      <c r="F191" s="12" t="s">
        <v>37</v>
      </c>
      <c r="G191" s="14" t="n">
        <v>1600</v>
      </c>
      <c r="H191" s="15" t="n">
        <v>15.3</v>
      </c>
      <c r="I191" s="15" t="n">
        <v>15.61</v>
      </c>
      <c r="J191" s="16" t="n">
        <f aca="false">G191*H191</f>
        <v>24480</v>
      </c>
      <c r="K191" s="16" t="n">
        <f aca="false">(H191-I191)*G191</f>
        <v>-495.999999999998</v>
      </c>
      <c r="L191" s="17" t="n">
        <f aca="false">IF(I191=0,0,H191/I191-1)</f>
        <v>-0.019859064702114</v>
      </c>
      <c r="M191" s="14" t="n">
        <v>1</v>
      </c>
      <c r="N191" s="18" t="n">
        <v>0.015</v>
      </c>
    </row>
    <row r="192" customFormat="false" ht="15" hidden="false" customHeight="false" outlineLevel="0" collapsed="false">
      <c r="A192" s="12" t="s">
        <v>251</v>
      </c>
      <c r="B192" s="13" t="n">
        <v>45716</v>
      </c>
      <c r="C192" s="12" t="str">
        <f aca="false">TEXT(B192,"yyyy-mm")</f>
        <v>2025-02</v>
      </c>
      <c r="D192" s="12" t="s">
        <v>53</v>
      </c>
      <c r="E192" s="12" t="s">
        <v>54</v>
      </c>
      <c r="F192" s="12" t="s">
        <v>55</v>
      </c>
      <c r="G192" s="14" t="n">
        <v>800</v>
      </c>
      <c r="H192" s="15" t="n">
        <v>14.04</v>
      </c>
      <c r="I192" s="15" t="n">
        <v>13.68</v>
      </c>
      <c r="J192" s="16" t="n">
        <f aca="false">G192*H192</f>
        <v>11232</v>
      </c>
      <c r="K192" s="16" t="n">
        <f aca="false">(H192-I192)*G192</f>
        <v>288</v>
      </c>
      <c r="L192" s="17" t="n">
        <f aca="false">IF(I192=0,0,H192/I192-1)</f>
        <v>0.0263157894736841</v>
      </c>
      <c r="M192" s="14" t="n">
        <v>1</v>
      </c>
      <c r="N192" s="18" t="n">
        <v>0.025</v>
      </c>
    </row>
    <row r="193" customFormat="false" ht="15" hidden="false" customHeight="false" outlineLevel="0" collapsed="false">
      <c r="A193" s="12" t="s">
        <v>252</v>
      </c>
      <c r="B193" s="13" t="n">
        <v>45716</v>
      </c>
      <c r="C193" s="12" t="str">
        <f aca="false">TEXT(B193,"yyyy-mm")</f>
        <v>2025-02</v>
      </c>
      <c r="D193" s="12" t="s">
        <v>53</v>
      </c>
      <c r="E193" s="12" t="s">
        <v>54</v>
      </c>
      <c r="F193" s="12" t="s">
        <v>55</v>
      </c>
      <c r="G193" s="14" t="n">
        <v>1200</v>
      </c>
      <c r="H193" s="15" t="n">
        <v>14.54</v>
      </c>
      <c r="I193" s="15" t="n">
        <v>13.83</v>
      </c>
      <c r="J193" s="16" t="n">
        <f aca="false">G193*H193</f>
        <v>17448</v>
      </c>
      <c r="K193" s="16" t="n">
        <f aca="false">(H193-I193)*G193</f>
        <v>851.999999999999</v>
      </c>
      <c r="L193" s="17" t="n">
        <f aca="false">IF(I193=0,0,H193/I193-1)</f>
        <v>0.0513376717281271</v>
      </c>
      <c r="M193" s="14" t="n">
        <v>1</v>
      </c>
      <c r="N193" s="18" t="n">
        <v>0.008</v>
      </c>
    </row>
    <row r="194" customFormat="false" ht="15" hidden="false" customHeight="false" outlineLevel="0" collapsed="false">
      <c r="A194" s="12" t="s">
        <v>253</v>
      </c>
      <c r="B194" s="13" t="n">
        <v>45716</v>
      </c>
      <c r="C194" s="12" t="str">
        <f aca="false">TEXT(B194,"yyyy-mm")</f>
        <v>2025-02</v>
      </c>
      <c r="D194" s="12" t="s">
        <v>53</v>
      </c>
      <c r="E194" s="12" t="s">
        <v>54</v>
      </c>
      <c r="F194" s="12" t="s">
        <v>55</v>
      </c>
      <c r="G194" s="14" t="n">
        <v>800</v>
      </c>
      <c r="H194" s="15" t="n">
        <v>13.78</v>
      </c>
      <c r="I194" s="15" t="n">
        <v>13.58</v>
      </c>
      <c r="J194" s="16" t="n">
        <f aca="false">G194*H194</f>
        <v>11024</v>
      </c>
      <c r="K194" s="16" t="n">
        <f aca="false">(H194-I194)*G194</f>
        <v>159.999999999999</v>
      </c>
      <c r="L194" s="17" t="n">
        <f aca="false">IF(I194=0,0,H194/I194-1)</f>
        <v>0.0147275405007363</v>
      </c>
      <c r="M194" s="14" t="n">
        <v>1</v>
      </c>
      <c r="N194" s="18" t="n">
        <v>0.016</v>
      </c>
    </row>
    <row r="195" customFormat="false" ht="15" hidden="false" customHeight="false" outlineLevel="0" collapsed="false">
      <c r="A195" s="12" t="s">
        <v>254</v>
      </c>
      <c r="B195" s="13" t="n">
        <v>45716</v>
      </c>
      <c r="C195" s="12" t="str">
        <f aca="false">TEXT(B195,"yyyy-mm")</f>
        <v>2025-02</v>
      </c>
      <c r="D195" s="12" t="s">
        <v>80</v>
      </c>
      <c r="E195" s="12" t="s">
        <v>81</v>
      </c>
      <c r="F195" s="12" t="s">
        <v>82</v>
      </c>
      <c r="G195" s="14" t="n">
        <v>2000</v>
      </c>
      <c r="H195" s="15" t="n">
        <v>20.56</v>
      </c>
      <c r="I195" s="15" t="n">
        <v>20.63</v>
      </c>
      <c r="J195" s="16" t="n">
        <f aca="false">G195*H195</f>
        <v>41120</v>
      </c>
      <c r="K195" s="16" t="n">
        <f aca="false">(H195-I195)*G195</f>
        <v>-140.000000000001</v>
      </c>
      <c r="L195" s="17" t="n">
        <f aca="false">IF(I195=0,0,H195/I195-1)</f>
        <v>-0.00339311682016485</v>
      </c>
      <c r="M195" s="14" t="n">
        <v>1</v>
      </c>
      <c r="N195" s="18" t="n">
        <v>0.032</v>
      </c>
    </row>
    <row r="196" customFormat="false" ht="15" hidden="false" customHeight="false" outlineLevel="0" collapsed="false">
      <c r="A196" s="12" t="s">
        <v>255</v>
      </c>
      <c r="B196" s="13" t="n">
        <v>45717</v>
      </c>
      <c r="C196" s="12" t="str">
        <f aca="false">TEXT(B196,"yyyy-mm")</f>
        <v>2025-03</v>
      </c>
      <c r="D196" s="12" t="s">
        <v>39</v>
      </c>
      <c r="E196" s="12" t="s">
        <v>46</v>
      </c>
      <c r="F196" s="12" t="s">
        <v>47</v>
      </c>
      <c r="G196" s="14" t="n">
        <v>200</v>
      </c>
      <c r="H196" s="15" t="n">
        <v>19.29</v>
      </c>
      <c r="I196" s="15" t="n">
        <v>17.78</v>
      </c>
      <c r="J196" s="16" t="n">
        <f aca="false">G196*H196</f>
        <v>3858</v>
      </c>
      <c r="K196" s="16" t="n">
        <f aca="false">(H196-I196)*G196</f>
        <v>302</v>
      </c>
      <c r="L196" s="17" t="n">
        <f aca="false">IF(I196=0,0,H196/I196-1)</f>
        <v>0.0849268841394824</v>
      </c>
      <c r="M196" s="14" t="n">
        <v>1</v>
      </c>
      <c r="N196" s="18" t="n">
        <v>0.006</v>
      </c>
    </row>
    <row r="197" customFormat="false" ht="15" hidden="false" customHeight="false" outlineLevel="0" collapsed="false">
      <c r="A197" s="12" t="s">
        <v>256</v>
      </c>
      <c r="B197" s="13" t="n">
        <v>45717</v>
      </c>
      <c r="C197" s="12" t="str">
        <f aca="false">TEXT(B197,"yyyy-mm")</f>
        <v>2025-03</v>
      </c>
      <c r="D197" s="12" t="s">
        <v>80</v>
      </c>
      <c r="E197" s="12" t="s">
        <v>81</v>
      </c>
      <c r="F197" s="12" t="s">
        <v>82</v>
      </c>
      <c r="G197" s="14" t="n">
        <v>1000</v>
      </c>
      <c r="H197" s="15" t="n">
        <v>21.92</v>
      </c>
      <c r="I197" s="15" t="n">
        <v>22.53</v>
      </c>
      <c r="J197" s="16" t="n">
        <f aca="false">G197*H197</f>
        <v>21920</v>
      </c>
      <c r="K197" s="16" t="n">
        <f aca="false">(H197-I197)*G197</f>
        <v>-609.999999999999</v>
      </c>
      <c r="L197" s="17" t="n">
        <f aca="false">IF(I197=0,0,H197/I197-1)</f>
        <v>-0.0270750110963161</v>
      </c>
      <c r="M197" s="14" t="n">
        <v>1</v>
      </c>
      <c r="N197" s="18" t="n">
        <v>0.007</v>
      </c>
    </row>
    <row r="198" customFormat="false" ht="15" hidden="false" customHeight="false" outlineLevel="0" collapsed="false">
      <c r="A198" s="12" t="s">
        <v>257</v>
      </c>
      <c r="B198" s="13" t="n">
        <v>45718</v>
      </c>
      <c r="C198" s="12" t="str">
        <f aca="false">TEXT(B198,"yyyy-mm")</f>
        <v>2025-03</v>
      </c>
      <c r="D198" s="12" t="s">
        <v>35</v>
      </c>
      <c r="E198" s="12" t="s">
        <v>36</v>
      </c>
      <c r="F198" s="12" t="s">
        <v>37</v>
      </c>
      <c r="G198" s="14" t="n">
        <v>2400</v>
      </c>
      <c r="H198" s="15" t="n">
        <v>15.71</v>
      </c>
      <c r="I198" s="15" t="n">
        <v>16.17</v>
      </c>
      <c r="J198" s="16" t="n">
        <f aca="false">G198*H198</f>
        <v>37704</v>
      </c>
      <c r="K198" s="16" t="n">
        <f aca="false">(H198-I198)*G198</f>
        <v>-1104</v>
      </c>
      <c r="L198" s="17" t="n">
        <f aca="false">IF(I198=0,0,H198/I198-1)</f>
        <v>-0.0284477427334571</v>
      </c>
      <c r="M198" s="14" t="n">
        <v>0</v>
      </c>
      <c r="N198" s="18" t="n">
        <v>0.029</v>
      </c>
    </row>
    <row r="199" customFormat="false" ht="15" hidden="false" customHeight="false" outlineLevel="0" collapsed="false">
      <c r="A199" s="12" t="s">
        <v>258</v>
      </c>
      <c r="B199" s="13" t="n">
        <v>45718</v>
      </c>
      <c r="C199" s="12" t="str">
        <f aca="false">TEXT(B199,"yyyy-mm")</f>
        <v>2025-03</v>
      </c>
      <c r="D199" s="12" t="s">
        <v>58</v>
      </c>
      <c r="E199" s="12" t="s">
        <v>40</v>
      </c>
      <c r="F199" s="12" t="s">
        <v>41</v>
      </c>
      <c r="G199" s="14" t="n">
        <v>1600</v>
      </c>
      <c r="H199" s="15" t="n">
        <v>29.71</v>
      </c>
      <c r="I199" s="15" t="n">
        <v>29.54</v>
      </c>
      <c r="J199" s="16" t="n">
        <f aca="false">G199*H199</f>
        <v>47536</v>
      </c>
      <c r="K199" s="16" t="n">
        <f aca="false">(H199-I199)*G199</f>
        <v>272.000000000003</v>
      </c>
      <c r="L199" s="17" t="n">
        <f aca="false">IF(I199=0,0,H199/I199-1)</f>
        <v>0.00575490859851047</v>
      </c>
      <c r="M199" s="14" t="n">
        <v>1</v>
      </c>
      <c r="N199" s="18" t="n">
        <v>0.015</v>
      </c>
    </row>
    <row r="200" customFormat="false" ht="15" hidden="false" customHeight="false" outlineLevel="0" collapsed="false">
      <c r="A200" s="12" t="s">
        <v>259</v>
      </c>
      <c r="B200" s="13" t="n">
        <v>45718</v>
      </c>
      <c r="C200" s="12" t="str">
        <f aca="false">TEXT(B200,"yyyy-mm")</f>
        <v>2025-03</v>
      </c>
      <c r="D200" s="12" t="s">
        <v>35</v>
      </c>
      <c r="E200" s="12" t="s">
        <v>36</v>
      </c>
      <c r="F200" s="12" t="s">
        <v>37</v>
      </c>
      <c r="G200" s="14" t="n">
        <v>3200</v>
      </c>
      <c r="H200" s="15" t="n">
        <v>16.1</v>
      </c>
      <c r="I200" s="15" t="n">
        <v>16.11</v>
      </c>
      <c r="J200" s="16" t="n">
        <f aca="false">G200*H200</f>
        <v>51520</v>
      </c>
      <c r="K200" s="16" t="n">
        <f aca="false">(H200-I200)*G200</f>
        <v>-31.9999999999936</v>
      </c>
      <c r="L200" s="17" t="n">
        <f aca="false">IF(I200=0,0,H200/I200-1)</f>
        <v>-0.000620732464307716</v>
      </c>
      <c r="M200" s="14" t="n">
        <v>1</v>
      </c>
      <c r="N200" s="18" t="n">
        <v>0.019</v>
      </c>
    </row>
    <row r="201" customFormat="false" ht="15" hidden="false" customHeight="false" outlineLevel="0" collapsed="false">
      <c r="A201" s="12" t="s">
        <v>260</v>
      </c>
      <c r="B201" s="13" t="n">
        <v>45719</v>
      </c>
      <c r="C201" s="12" t="str">
        <f aca="false">TEXT(B201,"yyyy-mm")</f>
        <v>2025-03</v>
      </c>
      <c r="D201" s="12" t="s">
        <v>58</v>
      </c>
      <c r="E201" s="12" t="s">
        <v>59</v>
      </c>
      <c r="F201" s="12" t="s">
        <v>55</v>
      </c>
      <c r="G201" s="14" t="n">
        <v>200</v>
      </c>
      <c r="H201" s="15" t="n">
        <v>32.43</v>
      </c>
      <c r="I201" s="15" t="n">
        <v>31.1</v>
      </c>
      <c r="J201" s="16" t="n">
        <f aca="false">G201*H201</f>
        <v>6486</v>
      </c>
      <c r="K201" s="16" t="n">
        <f aca="false">(H201-I201)*G201</f>
        <v>266</v>
      </c>
      <c r="L201" s="17" t="n">
        <f aca="false">IF(I201=0,0,H201/I201-1)</f>
        <v>0.0427652733118971</v>
      </c>
      <c r="M201" s="14" t="n">
        <v>1</v>
      </c>
      <c r="N201" s="18" t="n">
        <v>0.019</v>
      </c>
    </row>
    <row r="202" customFormat="false" ht="15" hidden="false" customHeight="false" outlineLevel="0" collapsed="false">
      <c r="A202" s="12" t="s">
        <v>261</v>
      </c>
      <c r="B202" s="13" t="n">
        <v>45719</v>
      </c>
      <c r="C202" s="12" t="str">
        <f aca="false">TEXT(B202,"yyyy-mm")</f>
        <v>2025-03</v>
      </c>
      <c r="D202" s="12" t="s">
        <v>80</v>
      </c>
      <c r="E202" s="12" t="s">
        <v>81</v>
      </c>
      <c r="F202" s="12" t="s">
        <v>82</v>
      </c>
      <c r="G202" s="14" t="n">
        <v>800</v>
      </c>
      <c r="H202" s="15" t="n">
        <v>21.22</v>
      </c>
      <c r="I202" s="15" t="n">
        <v>21.62</v>
      </c>
      <c r="J202" s="16" t="n">
        <f aca="false">G202*H202</f>
        <v>16976</v>
      </c>
      <c r="K202" s="16" t="n">
        <f aca="false">(H202-I202)*G202</f>
        <v>-320.000000000002</v>
      </c>
      <c r="L202" s="17" t="n">
        <f aca="false">IF(I202=0,0,H202/I202-1)</f>
        <v>-0.0185013876040704</v>
      </c>
      <c r="M202" s="14" t="n">
        <v>1</v>
      </c>
      <c r="N202" s="18" t="n">
        <v>0.02</v>
      </c>
    </row>
    <row r="203" customFormat="false" ht="15" hidden="false" customHeight="false" outlineLevel="0" collapsed="false">
      <c r="A203" s="12" t="s">
        <v>262</v>
      </c>
      <c r="B203" s="13" t="n">
        <v>45719</v>
      </c>
      <c r="C203" s="12" t="str">
        <f aca="false">TEXT(B203,"yyyy-mm")</f>
        <v>2025-03</v>
      </c>
      <c r="D203" s="12" t="s">
        <v>111</v>
      </c>
      <c r="E203" s="12" t="s">
        <v>76</v>
      </c>
      <c r="F203" s="12" t="s">
        <v>77</v>
      </c>
      <c r="G203" s="14" t="n">
        <v>1200</v>
      </c>
      <c r="H203" s="15" t="n">
        <v>18.61</v>
      </c>
      <c r="I203" s="15" t="n">
        <v>18.91</v>
      </c>
      <c r="J203" s="16" t="n">
        <f aca="false">G203*H203</f>
        <v>22332</v>
      </c>
      <c r="K203" s="16" t="n">
        <f aca="false">(H203-I203)*G203</f>
        <v>-360.000000000001</v>
      </c>
      <c r="L203" s="17" t="n">
        <f aca="false">IF(I203=0,0,H203/I203-1)</f>
        <v>-0.0158646218931783</v>
      </c>
      <c r="M203" s="14" t="n">
        <v>1</v>
      </c>
      <c r="N203" s="18" t="n">
        <v>0.025</v>
      </c>
    </row>
    <row r="204" customFormat="false" ht="15" hidden="false" customHeight="false" outlineLevel="0" collapsed="false">
      <c r="A204" s="12" t="s">
        <v>263</v>
      </c>
      <c r="B204" s="13" t="n">
        <v>45719</v>
      </c>
      <c r="C204" s="12" t="str">
        <f aca="false">TEXT(B204,"yyyy-mm")</f>
        <v>2025-03</v>
      </c>
      <c r="D204" s="12" t="s">
        <v>39</v>
      </c>
      <c r="E204" s="12" t="s">
        <v>46</v>
      </c>
      <c r="F204" s="12" t="s">
        <v>47</v>
      </c>
      <c r="G204" s="14" t="n">
        <v>1600</v>
      </c>
      <c r="H204" s="15" t="n">
        <v>19.02</v>
      </c>
      <c r="I204" s="15" t="n">
        <v>17.87</v>
      </c>
      <c r="J204" s="16" t="n">
        <f aca="false">G204*H204</f>
        <v>30432</v>
      </c>
      <c r="K204" s="16" t="n">
        <f aca="false">(H204-I204)*G204</f>
        <v>1840</v>
      </c>
      <c r="L204" s="17" t="n">
        <f aca="false">IF(I204=0,0,H204/I204-1)</f>
        <v>0.06435366536094</v>
      </c>
      <c r="M204" s="14" t="n">
        <v>1</v>
      </c>
      <c r="N204" s="18" t="n">
        <v>0.007</v>
      </c>
    </row>
    <row r="205" customFormat="false" ht="15" hidden="false" customHeight="false" outlineLevel="0" collapsed="false">
      <c r="A205" s="12" t="s">
        <v>264</v>
      </c>
      <c r="B205" s="13" t="n">
        <v>45719</v>
      </c>
      <c r="C205" s="12" t="str">
        <f aca="false">TEXT(B205,"yyyy-mm")</f>
        <v>2025-03</v>
      </c>
      <c r="D205" s="12" t="s">
        <v>58</v>
      </c>
      <c r="E205" s="12" t="s">
        <v>40</v>
      </c>
      <c r="F205" s="12" t="s">
        <v>41</v>
      </c>
      <c r="G205" s="14" t="n">
        <v>1000</v>
      </c>
      <c r="H205" s="15" t="n">
        <v>31.75</v>
      </c>
      <c r="I205" s="15" t="n">
        <v>30.56</v>
      </c>
      <c r="J205" s="16" t="n">
        <f aca="false">G205*H205</f>
        <v>31750</v>
      </c>
      <c r="K205" s="16" t="n">
        <f aca="false">(H205-I205)*G205</f>
        <v>1190</v>
      </c>
      <c r="L205" s="17" t="n">
        <f aca="false">IF(I205=0,0,H205/I205-1)</f>
        <v>0.0389397905759163</v>
      </c>
      <c r="M205" s="14" t="n">
        <v>1</v>
      </c>
      <c r="N205" s="18" t="n">
        <v>0.011</v>
      </c>
    </row>
    <row r="206" customFormat="false" ht="15" hidden="false" customHeight="false" outlineLevel="0" collapsed="false">
      <c r="A206" s="12" t="s">
        <v>265</v>
      </c>
      <c r="B206" s="13" t="n">
        <v>45720</v>
      </c>
      <c r="C206" s="12" t="str">
        <f aca="false">TEXT(B206,"yyyy-mm")</f>
        <v>2025-03</v>
      </c>
      <c r="D206" s="12" t="s">
        <v>53</v>
      </c>
      <c r="E206" s="12" t="s">
        <v>54</v>
      </c>
      <c r="F206" s="12" t="s">
        <v>55</v>
      </c>
      <c r="G206" s="14" t="n">
        <v>200</v>
      </c>
      <c r="H206" s="15" t="n">
        <v>15.66</v>
      </c>
      <c r="I206" s="15" t="n">
        <v>15.46</v>
      </c>
      <c r="J206" s="16" t="n">
        <f aca="false">G206*H206</f>
        <v>3132</v>
      </c>
      <c r="K206" s="16" t="n">
        <f aca="false">(H206-I206)*G206</f>
        <v>39.9999999999999</v>
      </c>
      <c r="L206" s="17" t="n">
        <f aca="false">IF(I206=0,0,H206/I206-1)</f>
        <v>0.0129366106080206</v>
      </c>
      <c r="M206" s="14" t="n">
        <v>1</v>
      </c>
      <c r="N206" s="18" t="n">
        <v>0.019</v>
      </c>
    </row>
    <row r="207" customFormat="false" ht="15" hidden="false" customHeight="false" outlineLevel="0" collapsed="false">
      <c r="A207" s="12" t="s">
        <v>266</v>
      </c>
      <c r="B207" s="13" t="n">
        <v>45720</v>
      </c>
      <c r="C207" s="12" t="str">
        <f aca="false">TEXT(B207,"yyyy-mm")</f>
        <v>2025-03</v>
      </c>
      <c r="D207" s="12" t="s">
        <v>61</v>
      </c>
      <c r="E207" s="12" t="s">
        <v>36</v>
      </c>
      <c r="F207" s="12" t="s">
        <v>37</v>
      </c>
      <c r="G207" s="14" t="n">
        <v>400</v>
      </c>
      <c r="H207" s="15" t="n">
        <v>13.51</v>
      </c>
      <c r="I207" s="15" t="n">
        <v>13.75</v>
      </c>
      <c r="J207" s="16" t="n">
        <f aca="false">G207*H207</f>
        <v>5404</v>
      </c>
      <c r="K207" s="16" t="n">
        <f aca="false">(H207-I207)*G207</f>
        <v>-96.0000000000001</v>
      </c>
      <c r="L207" s="17" t="n">
        <f aca="false">IF(I207=0,0,H207/I207-1)</f>
        <v>-0.0174545454545455</v>
      </c>
      <c r="M207" s="14" t="n">
        <v>1</v>
      </c>
      <c r="N207" s="18" t="n">
        <v>0.013</v>
      </c>
    </row>
    <row r="208" customFormat="false" ht="15" hidden="false" customHeight="false" outlineLevel="0" collapsed="false">
      <c r="A208" s="12" t="s">
        <v>267</v>
      </c>
      <c r="B208" s="13" t="n">
        <v>45721</v>
      </c>
      <c r="C208" s="12" t="str">
        <f aca="false">TEXT(B208,"yyyy-mm")</f>
        <v>2025-03</v>
      </c>
      <c r="D208" s="12" t="s">
        <v>53</v>
      </c>
      <c r="E208" s="12" t="s">
        <v>54</v>
      </c>
      <c r="F208" s="12" t="s">
        <v>55</v>
      </c>
      <c r="G208" s="14" t="n">
        <v>800</v>
      </c>
      <c r="H208" s="15" t="n">
        <v>15.9</v>
      </c>
      <c r="I208" s="15" t="n">
        <v>15.08</v>
      </c>
      <c r="J208" s="16" t="n">
        <f aca="false">G208*H208</f>
        <v>12720</v>
      </c>
      <c r="K208" s="16" t="n">
        <f aca="false">(H208-I208)*G208</f>
        <v>656</v>
      </c>
      <c r="L208" s="17" t="n">
        <f aca="false">IF(I208=0,0,H208/I208-1)</f>
        <v>0.0543766578249336</v>
      </c>
      <c r="M208" s="14" t="n">
        <v>1</v>
      </c>
      <c r="N208" s="18" t="n">
        <v>0.024</v>
      </c>
    </row>
    <row r="209" customFormat="false" ht="15" hidden="false" customHeight="false" outlineLevel="0" collapsed="false">
      <c r="A209" s="12" t="s">
        <v>268</v>
      </c>
      <c r="B209" s="13" t="n">
        <v>45721</v>
      </c>
      <c r="C209" s="12" t="str">
        <f aca="false">TEXT(B209,"yyyy-mm")</f>
        <v>2025-03</v>
      </c>
      <c r="D209" s="12" t="s">
        <v>39</v>
      </c>
      <c r="E209" s="12" t="s">
        <v>46</v>
      </c>
      <c r="F209" s="12" t="s">
        <v>47</v>
      </c>
      <c r="G209" s="14" t="n">
        <v>400</v>
      </c>
      <c r="H209" s="15" t="n">
        <v>19.58</v>
      </c>
      <c r="I209" s="15" t="n">
        <v>18.61</v>
      </c>
      <c r="J209" s="16" t="n">
        <f aca="false">G209*H209</f>
        <v>7832</v>
      </c>
      <c r="K209" s="16" t="n">
        <f aca="false">(H209-I209)*G209</f>
        <v>388</v>
      </c>
      <c r="L209" s="17" t="n">
        <f aca="false">IF(I209=0,0,H209/I209-1)</f>
        <v>0.0521225147770015</v>
      </c>
      <c r="M209" s="14" t="n">
        <v>1</v>
      </c>
      <c r="N209" s="18" t="n">
        <v>0.009</v>
      </c>
    </row>
    <row r="210" customFormat="false" ht="15" hidden="false" customHeight="false" outlineLevel="0" collapsed="false">
      <c r="A210" s="12" t="s">
        <v>269</v>
      </c>
      <c r="B210" s="13" t="n">
        <v>45721</v>
      </c>
      <c r="C210" s="12" t="str">
        <f aca="false">TEXT(B210,"yyyy-mm")</f>
        <v>2025-03</v>
      </c>
      <c r="D210" s="12" t="s">
        <v>61</v>
      </c>
      <c r="E210" s="12" t="s">
        <v>43</v>
      </c>
      <c r="F210" s="12" t="s">
        <v>44</v>
      </c>
      <c r="G210" s="14" t="n">
        <v>2000</v>
      </c>
      <c r="H210" s="15" t="n">
        <v>14.31</v>
      </c>
      <c r="I210" s="15" t="n">
        <v>14.14</v>
      </c>
      <c r="J210" s="16" t="n">
        <f aca="false">G210*H210</f>
        <v>28620</v>
      </c>
      <c r="K210" s="16" t="n">
        <f aca="false">(H210-I210)*G210</f>
        <v>340</v>
      </c>
      <c r="L210" s="17" t="n">
        <f aca="false">IF(I210=0,0,H210/I210-1)</f>
        <v>0.0120226308345119</v>
      </c>
      <c r="M210" s="14" t="n">
        <v>1</v>
      </c>
      <c r="N210" s="18" t="n">
        <v>0.013</v>
      </c>
    </row>
    <row r="211" customFormat="false" ht="15" hidden="false" customHeight="false" outlineLevel="0" collapsed="false">
      <c r="A211" s="12" t="s">
        <v>270</v>
      </c>
      <c r="B211" s="13" t="n">
        <v>45721</v>
      </c>
      <c r="C211" s="12" t="str">
        <f aca="false">TEXT(B211,"yyyy-mm")</f>
        <v>2025-03</v>
      </c>
      <c r="D211" s="12" t="s">
        <v>35</v>
      </c>
      <c r="E211" s="12" t="s">
        <v>36</v>
      </c>
      <c r="F211" s="12" t="s">
        <v>37</v>
      </c>
      <c r="G211" s="14" t="n">
        <v>800</v>
      </c>
      <c r="H211" s="15" t="n">
        <v>15.29</v>
      </c>
      <c r="I211" s="15" t="n">
        <v>15.72</v>
      </c>
      <c r="J211" s="16" t="n">
        <f aca="false">G211*H211</f>
        <v>12232</v>
      </c>
      <c r="K211" s="16" t="n">
        <f aca="false">(H211-I211)*G211</f>
        <v>-344.000000000001</v>
      </c>
      <c r="L211" s="17" t="n">
        <f aca="false">IF(I211=0,0,H211/I211-1)</f>
        <v>-0.0273536895674301</v>
      </c>
      <c r="M211" s="14" t="n">
        <v>1</v>
      </c>
      <c r="N211" s="18" t="n">
        <v>0.011</v>
      </c>
    </row>
    <row r="212" customFormat="false" ht="15" hidden="false" customHeight="false" outlineLevel="0" collapsed="false">
      <c r="A212" s="12" t="s">
        <v>271</v>
      </c>
      <c r="B212" s="13" t="n">
        <v>45722</v>
      </c>
      <c r="C212" s="12" t="str">
        <f aca="false">TEXT(B212,"yyyy-mm")</f>
        <v>2025-03</v>
      </c>
      <c r="D212" s="12" t="s">
        <v>111</v>
      </c>
      <c r="E212" s="12" t="s">
        <v>76</v>
      </c>
      <c r="F212" s="12" t="s">
        <v>77</v>
      </c>
      <c r="G212" s="14" t="n">
        <v>200</v>
      </c>
      <c r="H212" s="15" t="n">
        <v>19.53</v>
      </c>
      <c r="I212" s="15" t="n">
        <v>19.41</v>
      </c>
      <c r="J212" s="16" t="n">
        <f aca="false">G212*H212</f>
        <v>3906</v>
      </c>
      <c r="K212" s="16" t="n">
        <f aca="false">(H212-I212)*G212</f>
        <v>24.0000000000002</v>
      </c>
      <c r="L212" s="17" t="n">
        <f aca="false">IF(I212=0,0,H212/I212-1)</f>
        <v>0.0061823802163834</v>
      </c>
      <c r="M212" s="14" t="n">
        <v>1</v>
      </c>
      <c r="N212" s="18" t="n">
        <v>0.008</v>
      </c>
    </row>
    <row r="213" customFormat="false" ht="15" hidden="false" customHeight="false" outlineLevel="0" collapsed="false">
      <c r="A213" s="12" t="s">
        <v>272</v>
      </c>
      <c r="B213" s="13" t="n">
        <v>45722</v>
      </c>
      <c r="C213" s="12" t="str">
        <f aca="false">TEXT(B213,"yyyy-mm")</f>
        <v>2025-03</v>
      </c>
      <c r="D213" s="12" t="s">
        <v>61</v>
      </c>
      <c r="E213" s="12" t="s">
        <v>36</v>
      </c>
      <c r="F213" s="12" t="s">
        <v>37</v>
      </c>
      <c r="G213" s="14" t="n">
        <v>800</v>
      </c>
      <c r="H213" s="15" t="n">
        <v>14.26</v>
      </c>
      <c r="I213" s="15" t="n">
        <v>14.3</v>
      </c>
      <c r="J213" s="16" t="n">
        <f aca="false">G213*H213</f>
        <v>11408</v>
      </c>
      <c r="K213" s="16" t="n">
        <f aca="false">(H213-I213)*G213</f>
        <v>-32.0000000000007</v>
      </c>
      <c r="L213" s="17" t="n">
        <f aca="false">IF(I213=0,0,H213/I213-1)</f>
        <v>-0.00279720279720286</v>
      </c>
      <c r="M213" s="14" t="n">
        <v>1</v>
      </c>
      <c r="N213" s="18" t="n">
        <v>0.019</v>
      </c>
    </row>
    <row r="214" customFormat="false" ht="15" hidden="false" customHeight="false" outlineLevel="0" collapsed="false">
      <c r="A214" s="12" t="s">
        <v>273</v>
      </c>
      <c r="B214" s="13" t="n">
        <v>45722</v>
      </c>
      <c r="C214" s="12" t="str">
        <f aca="false">TEXT(B214,"yyyy-mm")</f>
        <v>2025-03</v>
      </c>
      <c r="D214" s="12" t="s">
        <v>61</v>
      </c>
      <c r="E214" s="12" t="s">
        <v>43</v>
      </c>
      <c r="F214" s="12" t="s">
        <v>44</v>
      </c>
      <c r="G214" s="14" t="n">
        <v>1200</v>
      </c>
      <c r="H214" s="15" t="n">
        <v>14.81</v>
      </c>
      <c r="I214" s="15" t="n">
        <v>14.41</v>
      </c>
      <c r="J214" s="16" t="n">
        <f aca="false">G214*H214</f>
        <v>17772</v>
      </c>
      <c r="K214" s="16" t="n">
        <f aca="false">(H214-I214)*G214</f>
        <v>480</v>
      </c>
      <c r="L214" s="17" t="n">
        <f aca="false">IF(I214=0,0,H214/I214-1)</f>
        <v>0.0277585010409438</v>
      </c>
      <c r="M214" s="14" t="n">
        <v>1</v>
      </c>
      <c r="N214" s="18" t="n">
        <v>0.012</v>
      </c>
    </row>
    <row r="215" customFormat="false" ht="15" hidden="false" customHeight="false" outlineLevel="0" collapsed="false">
      <c r="A215" s="12" t="s">
        <v>274</v>
      </c>
      <c r="B215" s="13" t="n">
        <v>45723</v>
      </c>
      <c r="C215" s="12" t="str">
        <f aca="false">TEXT(B215,"yyyy-mm")</f>
        <v>2025-03</v>
      </c>
      <c r="D215" s="12" t="s">
        <v>39</v>
      </c>
      <c r="E215" s="12" t="s">
        <v>49</v>
      </c>
      <c r="F215" s="12" t="s">
        <v>50</v>
      </c>
      <c r="G215" s="14" t="n">
        <v>1000</v>
      </c>
      <c r="H215" s="15" t="n">
        <v>17.45</v>
      </c>
      <c r="I215" s="15" t="n">
        <v>17.82</v>
      </c>
      <c r="J215" s="16" t="n">
        <f aca="false">G215*H215</f>
        <v>17450</v>
      </c>
      <c r="K215" s="16" t="n">
        <f aca="false">(H215-I215)*G215</f>
        <v>-370.000000000001</v>
      </c>
      <c r="L215" s="17" t="n">
        <f aca="false">IF(I215=0,0,H215/I215-1)</f>
        <v>-0.0207631874298542</v>
      </c>
      <c r="M215" s="14" t="n">
        <v>1</v>
      </c>
      <c r="N215" s="18" t="n">
        <v>0.04</v>
      </c>
    </row>
    <row r="216" customFormat="false" ht="15" hidden="false" customHeight="false" outlineLevel="0" collapsed="false">
      <c r="A216" s="12" t="s">
        <v>275</v>
      </c>
      <c r="B216" s="13" t="n">
        <v>45723</v>
      </c>
      <c r="C216" s="12" t="str">
        <f aca="false">TEXT(B216,"yyyy-mm")</f>
        <v>2025-03</v>
      </c>
      <c r="D216" s="12" t="s">
        <v>80</v>
      </c>
      <c r="E216" s="12" t="s">
        <v>81</v>
      </c>
      <c r="F216" s="12" t="s">
        <v>82</v>
      </c>
      <c r="G216" s="14" t="n">
        <v>2000</v>
      </c>
      <c r="H216" s="15" t="n">
        <v>21.36</v>
      </c>
      <c r="I216" s="15" t="n">
        <v>21.6</v>
      </c>
      <c r="J216" s="16" t="n">
        <f aca="false">G216*H216</f>
        <v>42720</v>
      </c>
      <c r="K216" s="16" t="n">
        <f aca="false">(H216-I216)*G216</f>
        <v>-480.000000000004</v>
      </c>
      <c r="L216" s="17" t="n">
        <f aca="false">IF(I216=0,0,H216/I216-1)</f>
        <v>-0.0111111111111112</v>
      </c>
      <c r="M216" s="14" t="n">
        <v>1</v>
      </c>
      <c r="N216" s="18" t="n">
        <v>0.015</v>
      </c>
    </row>
    <row r="217" customFormat="false" ht="15" hidden="false" customHeight="false" outlineLevel="0" collapsed="false">
      <c r="A217" s="12" t="s">
        <v>276</v>
      </c>
      <c r="B217" s="13" t="n">
        <v>45723</v>
      </c>
      <c r="C217" s="12" t="str">
        <f aca="false">TEXT(B217,"yyyy-mm")</f>
        <v>2025-03</v>
      </c>
      <c r="D217" s="12" t="s">
        <v>111</v>
      </c>
      <c r="E217" s="12" t="s">
        <v>76</v>
      </c>
      <c r="F217" s="12" t="s">
        <v>77</v>
      </c>
      <c r="G217" s="14" t="n">
        <v>1600</v>
      </c>
      <c r="H217" s="15" t="n">
        <v>19.47</v>
      </c>
      <c r="I217" s="15" t="n">
        <v>19.34</v>
      </c>
      <c r="J217" s="16" t="n">
        <f aca="false">G217*H217</f>
        <v>31152</v>
      </c>
      <c r="K217" s="16" t="n">
        <f aca="false">(H217-I217)*G217</f>
        <v>207.999999999998</v>
      </c>
      <c r="L217" s="17" t="n">
        <f aca="false">IF(I217=0,0,H217/I217-1)</f>
        <v>0.00672182006204758</v>
      </c>
      <c r="M217" s="14" t="n">
        <v>1</v>
      </c>
      <c r="N217" s="18" t="n">
        <v>0.009</v>
      </c>
    </row>
    <row r="218" customFormat="false" ht="15" hidden="false" customHeight="false" outlineLevel="0" collapsed="false">
      <c r="A218" s="12" t="s">
        <v>277</v>
      </c>
      <c r="B218" s="13" t="n">
        <v>45723</v>
      </c>
      <c r="C218" s="12" t="str">
        <f aca="false">TEXT(B218,"yyyy-mm")</f>
        <v>2025-03</v>
      </c>
      <c r="D218" s="12" t="s">
        <v>61</v>
      </c>
      <c r="E218" s="12" t="s">
        <v>36</v>
      </c>
      <c r="F218" s="12" t="s">
        <v>37</v>
      </c>
      <c r="G218" s="14" t="n">
        <v>200</v>
      </c>
      <c r="H218" s="15" t="n">
        <v>14.27</v>
      </c>
      <c r="I218" s="15" t="n">
        <v>14.21</v>
      </c>
      <c r="J218" s="16" t="n">
        <f aca="false">G218*H218</f>
        <v>2854</v>
      </c>
      <c r="K218" s="16" t="n">
        <f aca="false">(H218-I218)*G218</f>
        <v>11.9999999999997</v>
      </c>
      <c r="L218" s="17" t="n">
        <f aca="false">IF(I218=0,0,H218/I218-1)</f>
        <v>0.0042223786066149</v>
      </c>
      <c r="M218" s="14" t="n">
        <v>1</v>
      </c>
      <c r="N218" s="18" t="n">
        <v>0.015</v>
      </c>
    </row>
    <row r="219" customFormat="false" ht="15" hidden="false" customHeight="false" outlineLevel="0" collapsed="false">
      <c r="A219" s="12" t="s">
        <v>278</v>
      </c>
      <c r="B219" s="13" t="n">
        <v>45723</v>
      </c>
      <c r="C219" s="12" t="str">
        <f aca="false">TEXT(B219,"yyyy-mm")</f>
        <v>2025-03</v>
      </c>
      <c r="D219" s="12" t="s">
        <v>53</v>
      </c>
      <c r="E219" s="12" t="s">
        <v>54</v>
      </c>
      <c r="F219" s="12" t="s">
        <v>55</v>
      </c>
      <c r="G219" s="14" t="n">
        <v>800</v>
      </c>
      <c r="H219" s="15" t="n">
        <v>16.16</v>
      </c>
      <c r="I219" s="15" t="n">
        <v>15.52</v>
      </c>
      <c r="J219" s="16" t="n">
        <f aca="false">G219*H219</f>
        <v>12928</v>
      </c>
      <c r="K219" s="16" t="n">
        <f aca="false">(H219-I219)*G219</f>
        <v>512.000000000001</v>
      </c>
      <c r="L219" s="17" t="n">
        <f aca="false">IF(I219=0,0,H219/I219-1)</f>
        <v>0.0412371134020619</v>
      </c>
      <c r="M219" s="14" t="n">
        <v>1</v>
      </c>
      <c r="N219" s="18" t="n">
        <v>0.009</v>
      </c>
    </row>
    <row r="220" customFormat="false" ht="15" hidden="false" customHeight="false" outlineLevel="0" collapsed="false">
      <c r="A220" s="12" t="s">
        <v>279</v>
      </c>
      <c r="B220" s="13" t="n">
        <v>45724</v>
      </c>
      <c r="C220" s="12" t="str">
        <f aca="false">TEXT(B220,"yyyy-mm")</f>
        <v>2025-03</v>
      </c>
      <c r="D220" s="12" t="s">
        <v>61</v>
      </c>
      <c r="E220" s="12" t="s">
        <v>36</v>
      </c>
      <c r="F220" s="12" t="s">
        <v>37</v>
      </c>
      <c r="G220" s="14" t="n">
        <v>2000</v>
      </c>
      <c r="H220" s="15" t="n">
        <v>14.17</v>
      </c>
      <c r="I220" s="15" t="n">
        <v>14.34</v>
      </c>
      <c r="J220" s="16" t="n">
        <f aca="false">G220*H220</f>
        <v>28340</v>
      </c>
      <c r="K220" s="16" t="n">
        <f aca="false">(H220-I220)*G220</f>
        <v>-340</v>
      </c>
      <c r="L220" s="17" t="n">
        <f aca="false">IF(I220=0,0,H220/I220-1)</f>
        <v>-0.0118549511854951</v>
      </c>
      <c r="M220" s="14" t="n">
        <v>1</v>
      </c>
      <c r="N220" s="18" t="n">
        <v>0.013</v>
      </c>
    </row>
    <row r="221" customFormat="false" ht="15" hidden="false" customHeight="false" outlineLevel="0" collapsed="false">
      <c r="A221" s="12" t="s">
        <v>280</v>
      </c>
      <c r="B221" s="13" t="n">
        <v>45724</v>
      </c>
      <c r="C221" s="12" t="str">
        <f aca="false">TEXT(B221,"yyyy-mm")</f>
        <v>2025-03</v>
      </c>
      <c r="D221" s="12" t="s">
        <v>35</v>
      </c>
      <c r="E221" s="12" t="s">
        <v>36</v>
      </c>
      <c r="F221" s="12" t="s">
        <v>37</v>
      </c>
      <c r="G221" s="14" t="n">
        <v>2400</v>
      </c>
      <c r="H221" s="15" t="n">
        <v>15.7</v>
      </c>
      <c r="I221" s="15" t="n">
        <v>16.26</v>
      </c>
      <c r="J221" s="16" t="n">
        <f aca="false">G221*H221</f>
        <v>37680</v>
      </c>
      <c r="K221" s="16" t="n">
        <f aca="false">(H221-I221)*G221</f>
        <v>-1344.00000000001</v>
      </c>
      <c r="L221" s="17" t="n">
        <f aca="false">IF(I221=0,0,H221/I221-1)</f>
        <v>-0.0344403444034441</v>
      </c>
      <c r="M221" s="14" t="n">
        <v>1</v>
      </c>
      <c r="N221" s="18" t="n">
        <v>0.003</v>
      </c>
    </row>
    <row r="222" customFormat="false" ht="15" hidden="false" customHeight="false" outlineLevel="0" collapsed="false">
      <c r="A222" s="12" t="s">
        <v>281</v>
      </c>
      <c r="B222" s="13" t="n">
        <v>45725</v>
      </c>
      <c r="C222" s="12" t="str">
        <f aca="false">TEXT(B222,"yyyy-mm")</f>
        <v>2025-03</v>
      </c>
      <c r="D222" s="12" t="s">
        <v>39</v>
      </c>
      <c r="E222" s="12" t="s">
        <v>49</v>
      </c>
      <c r="F222" s="12" t="s">
        <v>50</v>
      </c>
      <c r="G222" s="14" t="n">
        <v>1000</v>
      </c>
      <c r="H222" s="15" t="n">
        <v>18.85</v>
      </c>
      <c r="I222" s="15" t="n">
        <v>18.6</v>
      </c>
      <c r="J222" s="16" t="n">
        <f aca="false">G222*H222</f>
        <v>18850</v>
      </c>
      <c r="K222" s="16" t="n">
        <f aca="false">(H222-I222)*G222</f>
        <v>250</v>
      </c>
      <c r="L222" s="17" t="n">
        <f aca="false">IF(I222=0,0,H222/I222-1)</f>
        <v>0.0134408602150538</v>
      </c>
      <c r="M222" s="14" t="n">
        <v>1</v>
      </c>
      <c r="N222" s="18" t="n">
        <v>0.016</v>
      </c>
    </row>
    <row r="223" customFormat="false" ht="15" hidden="false" customHeight="false" outlineLevel="0" collapsed="false">
      <c r="A223" s="12" t="s">
        <v>282</v>
      </c>
      <c r="B223" s="13" t="n">
        <v>45726</v>
      </c>
      <c r="C223" s="12" t="str">
        <f aca="false">TEXT(B223,"yyyy-mm")</f>
        <v>2025-03</v>
      </c>
      <c r="D223" s="12" t="s">
        <v>58</v>
      </c>
      <c r="E223" s="12" t="s">
        <v>76</v>
      </c>
      <c r="F223" s="12" t="s">
        <v>77</v>
      </c>
      <c r="G223" s="14" t="n">
        <v>1000</v>
      </c>
      <c r="H223" s="15" t="n">
        <v>30.92</v>
      </c>
      <c r="I223" s="15" t="n">
        <v>31.09</v>
      </c>
      <c r="J223" s="16" t="n">
        <f aca="false">G223*H223</f>
        <v>30920</v>
      </c>
      <c r="K223" s="16" t="n">
        <f aca="false">(H223-I223)*G223</f>
        <v>-169.999999999998</v>
      </c>
      <c r="L223" s="17" t="n">
        <f aca="false">IF(I223=0,0,H223/I223-1)</f>
        <v>-0.00546799614023796</v>
      </c>
      <c r="M223" s="14" t="n">
        <v>1</v>
      </c>
      <c r="N223" s="18" t="n">
        <v>0.02</v>
      </c>
    </row>
    <row r="224" customFormat="false" ht="15" hidden="false" customHeight="false" outlineLevel="0" collapsed="false">
      <c r="A224" s="12" t="s">
        <v>283</v>
      </c>
      <c r="B224" s="13" t="n">
        <v>45726</v>
      </c>
      <c r="C224" s="12" t="str">
        <f aca="false">TEXT(B224,"yyyy-mm")</f>
        <v>2025-03</v>
      </c>
      <c r="D224" s="12" t="s">
        <v>39</v>
      </c>
      <c r="E224" s="12" t="s">
        <v>46</v>
      </c>
      <c r="F224" s="12" t="s">
        <v>47</v>
      </c>
      <c r="G224" s="14" t="n">
        <v>400</v>
      </c>
      <c r="H224" s="15" t="n">
        <v>19.68</v>
      </c>
      <c r="I224" s="15" t="n">
        <v>18.58</v>
      </c>
      <c r="J224" s="16" t="n">
        <f aca="false">G224*H224</f>
        <v>7872</v>
      </c>
      <c r="K224" s="16" t="n">
        <f aca="false">(H224-I224)*G224</f>
        <v>440.000000000001</v>
      </c>
      <c r="L224" s="17" t="n">
        <f aca="false">IF(I224=0,0,H224/I224-1)</f>
        <v>0.0592034445640475</v>
      </c>
      <c r="M224" s="14" t="n">
        <v>1</v>
      </c>
      <c r="N224" s="18" t="n">
        <v>0.009</v>
      </c>
    </row>
    <row r="225" customFormat="false" ht="15" hidden="false" customHeight="false" outlineLevel="0" collapsed="false">
      <c r="A225" s="12" t="s">
        <v>284</v>
      </c>
      <c r="B225" s="13" t="n">
        <v>45726</v>
      </c>
      <c r="C225" s="12" t="str">
        <f aca="false">TEXT(B225,"yyyy-mm")</f>
        <v>2025-03</v>
      </c>
      <c r="D225" s="12" t="s">
        <v>39</v>
      </c>
      <c r="E225" s="12" t="s">
        <v>46</v>
      </c>
      <c r="F225" s="12" t="s">
        <v>47</v>
      </c>
      <c r="G225" s="14" t="n">
        <v>1600</v>
      </c>
      <c r="H225" s="15" t="n">
        <v>19.1</v>
      </c>
      <c r="I225" s="15" t="n">
        <v>17.87</v>
      </c>
      <c r="J225" s="16" t="n">
        <f aca="false">G225*H225</f>
        <v>30560</v>
      </c>
      <c r="K225" s="16" t="n">
        <f aca="false">(H225-I225)*G225</f>
        <v>1968</v>
      </c>
      <c r="L225" s="17" t="n">
        <f aca="false">IF(I225=0,0,H225/I225-1)</f>
        <v>0.0688304420817012</v>
      </c>
      <c r="M225" s="14" t="n">
        <v>1</v>
      </c>
      <c r="N225" s="18" t="n">
        <v>0.01</v>
      </c>
    </row>
    <row r="226" customFormat="false" ht="15" hidden="false" customHeight="false" outlineLevel="0" collapsed="false">
      <c r="A226" s="12" t="s">
        <v>285</v>
      </c>
      <c r="B226" s="13" t="n">
        <v>45726</v>
      </c>
      <c r="C226" s="12" t="str">
        <f aca="false">TEXT(B226,"yyyy-mm")</f>
        <v>2025-03</v>
      </c>
      <c r="D226" s="12" t="s">
        <v>80</v>
      </c>
      <c r="E226" s="12" t="s">
        <v>81</v>
      </c>
      <c r="F226" s="12" t="s">
        <v>82</v>
      </c>
      <c r="G226" s="14" t="n">
        <v>1600</v>
      </c>
      <c r="H226" s="15" t="n">
        <v>20.62</v>
      </c>
      <c r="I226" s="15" t="n">
        <v>21.74</v>
      </c>
      <c r="J226" s="16" t="n">
        <f aca="false">G226*H226</f>
        <v>32992</v>
      </c>
      <c r="K226" s="16" t="n">
        <f aca="false">(H226-I226)*G226</f>
        <v>-1792</v>
      </c>
      <c r="L226" s="17" t="n">
        <f aca="false">IF(I226=0,0,H226/I226-1)</f>
        <v>-0.0515179392824285</v>
      </c>
      <c r="M226" s="14" t="n">
        <v>0</v>
      </c>
      <c r="N226" s="18" t="n">
        <v>0.017</v>
      </c>
    </row>
    <row r="227" customFormat="false" ht="15" hidden="false" customHeight="false" outlineLevel="0" collapsed="false">
      <c r="A227" s="12" t="s">
        <v>286</v>
      </c>
      <c r="B227" s="13" t="n">
        <v>45726</v>
      </c>
      <c r="C227" s="12" t="str">
        <f aca="false">TEXT(B227,"yyyy-mm")</f>
        <v>2025-03</v>
      </c>
      <c r="D227" s="12" t="s">
        <v>39</v>
      </c>
      <c r="E227" s="12" t="s">
        <v>49</v>
      </c>
      <c r="F227" s="12" t="s">
        <v>50</v>
      </c>
      <c r="G227" s="14" t="n">
        <v>1200</v>
      </c>
      <c r="H227" s="15" t="n">
        <v>17.39</v>
      </c>
      <c r="I227" s="15" t="n">
        <v>17.91</v>
      </c>
      <c r="J227" s="16" t="n">
        <f aca="false">G227*H227</f>
        <v>20868</v>
      </c>
      <c r="K227" s="16" t="n">
        <f aca="false">(H227-I227)*G227</f>
        <v>-624</v>
      </c>
      <c r="L227" s="17" t="n">
        <f aca="false">IF(I227=0,0,H227/I227-1)</f>
        <v>-0.0290340591848129</v>
      </c>
      <c r="M227" s="14" t="n">
        <v>1</v>
      </c>
      <c r="N227" s="18" t="n">
        <v>0.043</v>
      </c>
    </row>
    <row r="228" customFormat="false" ht="15" hidden="false" customHeight="false" outlineLevel="0" collapsed="false">
      <c r="A228" s="12" t="s">
        <v>287</v>
      </c>
      <c r="B228" s="13" t="n">
        <v>45726</v>
      </c>
      <c r="C228" s="12" t="str">
        <f aca="false">TEXT(B228,"yyyy-mm")</f>
        <v>2025-03</v>
      </c>
      <c r="D228" s="12" t="s">
        <v>58</v>
      </c>
      <c r="E228" s="12" t="s">
        <v>76</v>
      </c>
      <c r="F228" s="12" t="s">
        <v>77</v>
      </c>
      <c r="G228" s="14" t="n">
        <v>1200</v>
      </c>
      <c r="H228" s="15" t="n">
        <v>30.6</v>
      </c>
      <c r="I228" s="15" t="n">
        <v>31.03</v>
      </c>
      <c r="J228" s="16" t="n">
        <f aca="false">G228*H228</f>
        <v>36720</v>
      </c>
      <c r="K228" s="16" t="n">
        <f aca="false">(H228-I228)*G228</f>
        <v>-516</v>
      </c>
      <c r="L228" s="17" t="n">
        <f aca="false">IF(I228=0,0,H228/I228-1)</f>
        <v>-0.0138575572027071</v>
      </c>
      <c r="M228" s="14" t="n">
        <v>1</v>
      </c>
      <c r="N228" s="18" t="n">
        <v>0.008</v>
      </c>
    </row>
    <row r="229" customFormat="false" ht="15" hidden="false" customHeight="false" outlineLevel="0" collapsed="false">
      <c r="A229" s="12" t="s">
        <v>288</v>
      </c>
      <c r="B229" s="13" t="n">
        <v>45726</v>
      </c>
      <c r="C229" s="12" t="str">
        <f aca="false">TEXT(B229,"yyyy-mm")</f>
        <v>2025-03</v>
      </c>
      <c r="D229" s="12" t="s">
        <v>111</v>
      </c>
      <c r="E229" s="12" t="s">
        <v>76</v>
      </c>
      <c r="F229" s="12" t="s">
        <v>77</v>
      </c>
      <c r="G229" s="14" t="n">
        <v>600</v>
      </c>
      <c r="H229" s="15" t="n">
        <v>19.38</v>
      </c>
      <c r="I229" s="15" t="n">
        <v>18.66</v>
      </c>
      <c r="J229" s="16" t="n">
        <f aca="false">G229*H229</f>
        <v>11628</v>
      </c>
      <c r="K229" s="16" t="n">
        <f aca="false">(H229-I229)*G229</f>
        <v>431.999999999999</v>
      </c>
      <c r="L229" s="17" t="n">
        <f aca="false">IF(I229=0,0,H229/I229-1)</f>
        <v>0.0385852090032153</v>
      </c>
      <c r="M229" s="14" t="n">
        <v>1</v>
      </c>
      <c r="N229" s="18" t="n">
        <v>0.022</v>
      </c>
    </row>
    <row r="230" customFormat="false" ht="15" hidden="false" customHeight="false" outlineLevel="0" collapsed="false">
      <c r="A230" s="12" t="s">
        <v>289</v>
      </c>
      <c r="B230" s="13" t="n">
        <v>45726</v>
      </c>
      <c r="C230" s="12" t="str">
        <f aca="false">TEXT(B230,"yyyy-mm")</f>
        <v>2025-03</v>
      </c>
      <c r="D230" s="12" t="s">
        <v>39</v>
      </c>
      <c r="E230" s="12" t="s">
        <v>46</v>
      </c>
      <c r="F230" s="12" t="s">
        <v>47</v>
      </c>
      <c r="G230" s="14" t="n">
        <v>800</v>
      </c>
      <c r="H230" s="15" t="n">
        <v>18.66</v>
      </c>
      <c r="I230" s="15" t="n">
        <v>17.93</v>
      </c>
      <c r="J230" s="16" t="n">
        <f aca="false">G230*H230</f>
        <v>14928</v>
      </c>
      <c r="K230" s="16" t="n">
        <f aca="false">(H230-I230)*G230</f>
        <v>584</v>
      </c>
      <c r="L230" s="17" t="n">
        <f aca="false">IF(I230=0,0,H230/I230-1)</f>
        <v>0.0407138873396542</v>
      </c>
      <c r="M230" s="14" t="n">
        <v>1</v>
      </c>
      <c r="N230" s="18" t="n">
        <v>0.01</v>
      </c>
    </row>
    <row r="231" customFormat="false" ht="15" hidden="false" customHeight="false" outlineLevel="0" collapsed="false">
      <c r="A231" s="12" t="s">
        <v>290</v>
      </c>
      <c r="B231" s="13" t="n">
        <v>45727</v>
      </c>
      <c r="C231" s="12" t="str">
        <f aca="false">TEXT(B231,"yyyy-mm")</f>
        <v>2025-03</v>
      </c>
      <c r="D231" s="12" t="s">
        <v>53</v>
      </c>
      <c r="E231" s="12" t="s">
        <v>54</v>
      </c>
      <c r="F231" s="12" t="s">
        <v>55</v>
      </c>
      <c r="G231" s="14" t="n">
        <v>1000</v>
      </c>
      <c r="H231" s="15" t="n">
        <v>15.44</v>
      </c>
      <c r="I231" s="15" t="n">
        <v>15.2</v>
      </c>
      <c r="J231" s="16" t="n">
        <f aca="false">G231*H231</f>
        <v>15440</v>
      </c>
      <c r="K231" s="16" t="n">
        <f aca="false">(H231-I231)*G231</f>
        <v>240</v>
      </c>
      <c r="L231" s="17" t="n">
        <f aca="false">IF(I231=0,0,H231/I231-1)</f>
        <v>0.0157894736842106</v>
      </c>
      <c r="M231" s="14" t="n">
        <v>0</v>
      </c>
      <c r="N231" s="18" t="n">
        <v>0.015</v>
      </c>
    </row>
    <row r="232" customFormat="false" ht="15" hidden="false" customHeight="false" outlineLevel="0" collapsed="false">
      <c r="A232" s="12" t="s">
        <v>291</v>
      </c>
      <c r="B232" s="13" t="n">
        <v>45727</v>
      </c>
      <c r="C232" s="12" t="str">
        <f aca="false">TEXT(B232,"yyyy-mm")</f>
        <v>2025-03</v>
      </c>
      <c r="D232" s="12" t="s">
        <v>53</v>
      </c>
      <c r="E232" s="12" t="s">
        <v>54</v>
      </c>
      <c r="F232" s="12" t="s">
        <v>55</v>
      </c>
      <c r="G232" s="14" t="n">
        <v>2000</v>
      </c>
      <c r="H232" s="15" t="n">
        <v>15.62</v>
      </c>
      <c r="I232" s="15" t="n">
        <v>14.81</v>
      </c>
      <c r="J232" s="16" t="n">
        <f aca="false">G232*H232</f>
        <v>31240</v>
      </c>
      <c r="K232" s="16" t="n">
        <f aca="false">(H232-I232)*G232</f>
        <v>1620</v>
      </c>
      <c r="L232" s="17" t="n">
        <f aca="false">IF(I232=0,0,H232/I232-1)</f>
        <v>0.0546927751519244</v>
      </c>
      <c r="M232" s="14" t="n">
        <v>1</v>
      </c>
      <c r="N232" s="18" t="n">
        <v>0.004</v>
      </c>
    </row>
    <row r="233" customFormat="false" ht="15" hidden="false" customHeight="false" outlineLevel="0" collapsed="false">
      <c r="A233" s="12" t="s">
        <v>292</v>
      </c>
      <c r="B233" s="13" t="n">
        <v>45728</v>
      </c>
      <c r="C233" s="12" t="str">
        <f aca="false">TEXT(B233,"yyyy-mm")</f>
        <v>2025-03</v>
      </c>
      <c r="D233" s="12" t="s">
        <v>35</v>
      </c>
      <c r="E233" s="12" t="s">
        <v>36</v>
      </c>
      <c r="F233" s="12" t="s">
        <v>37</v>
      </c>
      <c r="G233" s="14" t="n">
        <v>1600</v>
      </c>
      <c r="H233" s="15" t="n">
        <v>16.43</v>
      </c>
      <c r="I233" s="15" t="n">
        <v>16.49</v>
      </c>
      <c r="J233" s="16" t="n">
        <f aca="false">G233*H233</f>
        <v>26288</v>
      </c>
      <c r="K233" s="16" t="n">
        <f aca="false">(H233-I233)*G233</f>
        <v>-95.999999999998</v>
      </c>
      <c r="L233" s="17" t="n">
        <f aca="false">IF(I233=0,0,H233/I233-1)</f>
        <v>-0.00363856882959357</v>
      </c>
      <c r="M233" s="14" t="n">
        <v>1</v>
      </c>
      <c r="N233" s="18" t="n">
        <v>0.022</v>
      </c>
    </row>
    <row r="234" customFormat="false" ht="15" hidden="false" customHeight="false" outlineLevel="0" collapsed="false">
      <c r="A234" s="12" t="s">
        <v>293</v>
      </c>
      <c r="B234" s="13" t="n">
        <v>45728</v>
      </c>
      <c r="C234" s="12" t="str">
        <f aca="false">TEXT(B234,"yyyy-mm")</f>
        <v>2025-03</v>
      </c>
      <c r="D234" s="12" t="s">
        <v>80</v>
      </c>
      <c r="E234" s="12" t="s">
        <v>76</v>
      </c>
      <c r="F234" s="12" t="s">
        <v>77</v>
      </c>
      <c r="G234" s="14" t="n">
        <v>2000</v>
      </c>
      <c r="H234" s="15" t="n">
        <v>22.77</v>
      </c>
      <c r="I234" s="15" t="n">
        <v>21.94</v>
      </c>
      <c r="J234" s="16" t="n">
        <f aca="false">G234*H234</f>
        <v>45540</v>
      </c>
      <c r="K234" s="16" t="n">
        <f aca="false">(H234-I234)*G234</f>
        <v>1660</v>
      </c>
      <c r="L234" s="17" t="n">
        <f aca="false">IF(I234=0,0,H234/I234-1)</f>
        <v>0.0378304466727437</v>
      </c>
      <c r="M234" s="14" t="n">
        <v>1</v>
      </c>
      <c r="N234" s="18" t="n">
        <v>0.018</v>
      </c>
    </row>
    <row r="235" customFormat="false" ht="15" hidden="false" customHeight="false" outlineLevel="0" collapsed="false">
      <c r="A235" s="12" t="s">
        <v>294</v>
      </c>
      <c r="B235" s="13" t="n">
        <v>45728</v>
      </c>
      <c r="C235" s="12" t="str">
        <f aca="false">TEXT(B235,"yyyy-mm")</f>
        <v>2025-03</v>
      </c>
      <c r="D235" s="12" t="s">
        <v>61</v>
      </c>
      <c r="E235" s="12" t="s">
        <v>36</v>
      </c>
      <c r="F235" s="12" t="s">
        <v>37</v>
      </c>
      <c r="G235" s="14" t="n">
        <v>1200</v>
      </c>
      <c r="H235" s="15" t="n">
        <v>13.46</v>
      </c>
      <c r="I235" s="15" t="n">
        <v>13.9</v>
      </c>
      <c r="J235" s="16" t="n">
        <f aca="false">G235*H235</f>
        <v>16152</v>
      </c>
      <c r="K235" s="16" t="n">
        <f aca="false">(H235-I235)*G235</f>
        <v>-527.999999999999</v>
      </c>
      <c r="L235" s="17" t="n">
        <f aca="false">IF(I235=0,0,H235/I235-1)</f>
        <v>-0.0316546762589928</v>
      </c>
      <c r="M235" s="14" t="n">
        <v>1</v>
      </c>
      <c r="N235" s="18" t="n">
        <v>0.023</v>
      </c>
    </row>
    <row r="236" customFormat="false" ht="15" hidden="false" customHeight="false" outlineLevel="0" collapsed="false">
      <c r="A236" s="12" t="s">
        <v>295</v>
      </c>
      <c r="B236" s="13" t="n">
        <v>45729</v>
      </c>
      <c r="C236" s="12" t="str">
        <f aca="false">TEXT(B236,"yyyy-mm")</f>
        <v>2025-03</v>
      </c>
      <c r="D236" s="12" t="s">
        <v>61</v>
      </c>
      <c r="E236" s="12" t="s">
        <v>43</v>
      </c>
      <c r="F236" s="12" t="s">
        <v>44</v>
      </c>
      <c r="G236" s="14" t="n">
        <v>200</v>
      </c>
      <c r="H236" s="15" t="n">
        <v>14.51</v>
      </c>
      <c r="I236" s="15" t="n">
        <v>14.17</v>
      </c>
      <c r="J236" s="16" t="n">
        <f aca="false">G236*H236</f>
        <v>2902</v>
      </c>
      <c r="K236" s="16" t="n">
        <f aca="false">(H236-I236)*G236</f>
        <v>68</v>
      </c>
      <c r="L236" s="17" t="n">
        <f aca="false">IF(I236=0,0,H236/I236-1)</f>
        <v>0.0239943542695835</v>
      </c>
      <c r="M236" s="14" t="n">
        <v>1</v>
      </c>
      <c r="N236" s="18" t="n">
        <v>0.011</v>
      </c>
    </row>
    <row r="237" customFormat="false" ht="15" hidden="false" customHeight="false" outlineLevel="0" collapsed="false">
      <c r="A237" s="12" t="s">
        <v>296</v>
      </c>
      <c r="B237" s="13" t="n">
        <v>45729</v>
      </c>
      <c r="C237" s="12" t="str">
        <f aca="false">TEXT(B237,"yyyy-mm")</f>
        <v>2025-03</v>
      </c>
      <c r="D237" s="12" t="s">
        <v>53</v>
      </c>
      <c r="E237" s="12" t="s">
        <v>54</v>
      </c>
      <c r="F237" s="12" t="s">
        <v>55</v>
      </c>
      <c r="G237" s="14" t="n">
        <v>1000</v>
      </c>
      <c r="H237" s="15" t="n">
        <v>15.82</v>
      </c>
      <c r="I237" s="15" t="n">
        <v>15.31</v>
      </c>
      <c r="J237" s="16" t="n">
        <f aca="false">G237*H237</f>
        <v>15820</v>
      </c>
      <c r="K237" s="16" t="n">
        <f aca="false">(H237-I237)*G237</f>
        <v>510</v>
      </c>
      <c r="L237" s="17" t="n">
        <f aca="false">IF(I237=0,0,H237/I237-1)</f>
        <v>0.0333115610711954</v>
      </c>
      <c r="M237" s="14" t="n">
        <v>1</v>
      </c>
      <c r="N237" s="18" t="n">
        <v>0.016</v>
      </c>
    </row>
    <row r="238" customFormat="false" ht="15" hidden="false" customHeight="false" outlineLevel="0" collapsed="false">
      <c r="A238" s="12" t="s">
        <v>297</v>
      </c>
      <c r="B238" s="13" t="n">
        <v>45730</v>
      </c>
      <c r="C238" s="12" t="str">
        <f aca="false">TEXT(B238,"yyyy-mm")</f>
        <v>2025-03</v>
      </c>
      <c r="D238" s="12" t="s">
        <v>80</v>
      </c>
      <c r="E238" s="12" t="s">
        <v>76</v>
      </c>
      <c r="F238" s="12" t="s">
        <v>77</v>
      </c>
      <c r="G238" s="14" t="n">
        <v>2000</v>
      </c>
      <c r="H238" s="15" t="n">
        <v>22.05</v>
      </c>
      <c r="I238" s="15" t="n">
        <v>22.47</v>
      </c>
      <c r="J238" s="16" t="n">
        <f aca="false">G238*H238</f>
        <v>44100</v>
      </c>
      <c r="K238" s="16" t="n">
        <f aca="false">(H238-I238)*G238</f>
        <v>-839.999999999996</v>
      </c>
      <c r="L238" s="17" t="n">
        <f aca="false">IF(I238=0,0,H238/I238-1)</f>
        <v>-0.0186915887850466</v>
      </c>
      <c r="M238" s="14" t="n">
        <v>1</v>
      </c>
      <c r="N238" s="18" t="n">
        <v>0.007</v>
      </c>
    </row>
    <row r="239" customFormat="false" ht="15" hidden="false" customHeight="false" outlineLevel="0" collapsed="false">
      <c r="A239" s="12" t="s">
        <v>298</v>
      </c>
      <c r="B239" s="13" t="n">
        <v>45730</v>
      </c>
      <c r="C239" s="12" t="str">
        <f aca="false">TEXT(B239,"yyyy-mm")</f>
        <v>2025-03</v>
      </c>
      <c r="D239" s="12" t="s">
        <v>58</v>
      </c>
      <c r="E239" s="12" t="s">
        <v>59</v>
      </c>
      <c r="F239" s="12" t="s">
        <v>55</v>
      </c>
      <c r="G239" s="14" t="n">
        <v>1200</v>
      </c>
      <c r="H239" s="15" t="n">
        <v>32.18</v>
      </c>
      <c r="I239" s="15" t="n">
        <v>30.63</v>
      </c>
      <c r="J239" s="16" t="n">
        <f aca="false">G239*H239</f>
        <v>38616</v>
      </c>
      <c r="K239" s="16" t="n">
        <f aca="false">(H239-I239)*G239</f>
        <v>1860</v>
      </c>
      <c r="L239" s="17" t="n">
        <f aca="false">IF(I239=0,0,H239/I239-1)</f>
        <v>0.0506039830231799</v>
      </c>
      <c r="M239" s="14" t="n">
        <v>1</v>
      </c>
      <c r="N239" s="18" t="n">
        <v>0.021</v>
      </c>
    </row>
    <row r="240" customFormat="false" ht="15" hidden="false" customHeight="false" outlineLevel="0" collapsed="false">
      <c r="A240" s="12" t="s">
        <v>299</v>
      </c>
      <c r="B240" s="13" t="n">
        <v>45730</v>
      </c>
      <c r="C240" s="12" t="str">
        <f aca="false">TEXT(B240,"yyyy-mm")</f>
        <v>2025-03</v>
      </c>
      <c r="D240" s="12" t="s">
        <v>53</v>
      </c>
      <c r="E240" s="12" t="s">
        <v>54</v>
      </c>
      <c r="F240" s="12" t="s">
        <v>55</v>
      </c>
      <c r="G240" s="14" t="n">
        <v>200</v>
      </c>
      <c r="H240" s="15" t="n">
        <v>15.7</v>
      </c>
      <c r="I240" s="15" t="n">
        <v>14.87</v>
      </c>
      <c r="J240" s="16" t="n">
        <f aca="false">G240*H240</f>
        <v>3140</v>
      </c>
      <c r="K240" s="16" t="n">
        <f aca="false">(H240-I240)*G240</f>
        <v>166</v>
      </c>
      <c r="L240" s="17" t="n">
        <f aca="false">IF(I240=0,0,H240/I240-1)</f>
        <v>0.0558170813718897</v>
      </c>
      <c r="M240" s="14" t="n">
        <v>1</v>
      </c>
      <c r="N240" s="18" t="n">
        <v>0.016</v>
      </c>
    </row>
    <row r="241" customFormat="false" ht="15" hidden="false" customHeight="false" outlineLevel="0" collapsed="false">
      <c r="A241" s="12" t="s">
        <v>300</v>
      </c>
      <c r="B241" s="13" t="n">
        <v>45731</v>
      </c>
      <c r="C241" s="12" t="str">
        <f aca="false">TEXT(B241,"yyyy-mm")</f>
        <v>2025-03</v>
      </c>
      <c r="D241" s="12" t="s">
        <v>58</v>
      </c>
      <c r="E241" s="12" t="s">
        <v>59</v>
      </c>
      <c r="F241" s="12" t="s">
        <v>55</v>
      </c>
      <c r="G241" s="14" t="n">
        <v>800</v>
      </c>
      <c r="H241" s="15" t="n">
        <v>33.36</v>
      </c>
      <c r="I241" s="15" t="n">
        <v>31.02</v>
      </c>
      <c r="J241" s="16" t="n">
        <f aca="false">G241*H241</f>
        <v>26688</v>
      </c>
      <c r="K241" s="16" t="n">
        <f aca="false">(H241-I241)*G241</f>
        <v>1872</v>
      </c>
      <c r="L241" s="17" t="n">
        <f aca="false">IF(I241=0,0,H241/I241-1)</f>
        <v>0.0754352030947776</v>
      </c>
      <c r="M241" s="14" t="n">
        <v>1</v>
      </c>
      <c r="N241" s="18" t="n">
        <v>0.02</v>
      </c>
    </row>
    <row r="242" customFormat="false" ht="15" hidden="false" customHeight="false" outlineLevel="0" collapsed="false">
      <c r="A242" s="12" t="s">
        <v>301</v>
      </c>
      <c r="B242" s="13" t="n">
        <v>45731</v>
      </c>
      <c r="C242" s="12" t="str">
        <f aca="false">TEXT(B242,"yyyy-mm")</f>
        <v>2025-03</v>
      </c>
      <c r="D242" s="12" t="s">
        <v>35</v>
      </c>
      <c r="E242" s="12" t="s">
        <v>36</v>
      </c>
      <c r="F242" s="12" t="s">
        <v>37</v>
      </c>
      <c r="G242" s="14" t="n">
        <v>4000</v>
      </c>
      <c r="H242" s="15" t="n">
        <v>16.24</v>
      </c>
      <c r="I242" s="15" t="n">
        <v>16.21</v>
      </c>
      <c r="J242" s="16" t="n">
        <f aca="false">G242*H242</f>
        <v>64960</v>
      </c>
      <c r="K242" s="16" t="n">
        <f aca="false">(H242-I242)*G242</f>
        <v>119.99999999999</v>
      </c>
      <c r="L242" s="17" t="n">
        <f aca="false">IF(I242=0,0,H242/I242-1)</f>
        <v>0.00185070943861798</v>
      </c>
      <c r="M242" s="14" t="n">
        <v>1</v>
      </c>
      <c r="N242" s="18" t="n">
        <v>0.01</v>
      </c>
    </row>
    <row r="243" customFormat="false" ht="15" hidden="false" customHeight="false" outlineLevel="0" collapsed="false">
      <c r="A243" s="12" t="s">
        <v>302</v>
      </c>
      <c r="B243" s="13" t="n">
        <v>45732</v>
      </c>
      <c r="C243" s="12" t="str">
        <f aca="false">TEXT(B243,"yyyy-mm")</f>
        <v>2025-03</v>
      </c>
      <c r="D243" s="12" t="s">
        <v>53</v>
      </c>
      <c r="E243" s="12" t="s">
        <v>49</v>
      </c>
      <c r="F243" s="12" t="s">
        <v>50</v>
      </c>
      <c r="G243" s="14" t="n">
        <v>600</v>
      </c>
      <c r="H243" s="15" t="n">
        <v>14.93</v>
      </c>
      <c r="I243" s="15" t="n">
        <v>15.57</v>
      </c>
      <c r="J243" s="16" t="n">
        <f aca="false">G243*H243</f>
        <v>8958</v>
      </c>
      <c r="K243" s="16" t="n">
        <f aca="false">(H243-I243)*G243</f>
        <v>-384</v>
      </c>
      <c r="L243" s="17" t="n">
        <f aca="false">IF(I243=0,0,H243/I243-1)</f>
        <v>-0.0411046885035324</v>
      </c>
      <c r="M243" s="14" t="n">
        <v>1</v>
      </c>
      <c r="N243" s="18" t="n">
        <v>0.027</v>
      </c>
    </row>
    <row r="244" customFormat="false" ht="15" hidden="false" customHeight="false" outlineLevel="0" collapsed="false">
      <c r="A244" s="12" t="s">
        <v>303</v>
      </c>
      <c r="B244" s="13" t="n">
        <v>45732</v>
      </c>
      <c r="C244" s="12" t="str">
        <f aca="false">TEXT(B244,"yyyy-mm")</f>
        <v>2025-03</v>
      </c>
      <c r="D244" s="12" t="s">
        <v>61</v>
      </c>
      <c r="E244" s="12" t="s">
        <v>43</v>
      </c>
      <c r="F244" s="12" t="s">
        <v>44</v>
      </c>
      <c r="G244" s="14" t="n">
        <v>600</v>
      </c>
      <c r="H244" s="15" t="n">
        <v>14.14</v>
      </c>
      <c r="I244" s="15" t="n">
        <v>13.97</v>
      </c>
      <c r="J244" s="16" t="n">
        <f aca="false">G244*H244</f>
        <v>8484</v>
      </c>
      <c r="K244" s="16" t="n">
        <f aca="false">(H244-I244)*G244</f>
        <v>102</v>
      </c>
      <c r="L244" s="17" t="n">
        <f aca="false">IF(I244=0,0,H244/I244-1)</f>
        <v>0.012168933428776</v>
      </c>
      <c r="M244" s="14" t="n">
        <v>1</v>
      </c>
      <c r="N244" s="18" t="n">
        <v>0.009</v>
      </c>
    </row>
    <row r="245" customFormat="false" ht="15" hidden="false" customHeight="false" outlineLevel="0" collapsed="false">
      <c r="A245" s="12" t="s">
        <v>304</v>
      </c>
      <c r="B245" s="13" t="n">
        <v>45732</v>
      </c>
      <c r="C245" s="12" t="str">
        <f aca="false">TEXT(B245,"yyyy-mm")</f>
        <v>2025-03</v>
      </c>
      <c r="D245" s="12" t="s">
        <v>53</v>
      </c>
      <c r="E245" s="12" t="s">
        <v>49</v>
      </c>
      <c r="F245" s="12" t="s">
        <v>50</v>
      </c>
      <c r="G245" s="14" t="n">
        <v>200</v>
      </c>
      <c r="H245" s="15" t="n">
        <v>14.4</v>
      </c>
      <c r="I245" s="15" t="n">
        <v>15.05</v>
      </c>
      <c r="J245" s="16" t="n">
        <f aca="false">G245*H245</f>
        <v>2880</v>
      </c>
      <c r="K245" s="16" t="n">
        <f aca="false">(H245-I245)*G245</f>
        <v>-130</v>
      </c>
      <c r="L245" s="17" t="n">
        <f aca="false">IF(I245=0,0,H245/I245-1)</f>
        <v>-0.0431893687707642</v>
      </c>
      <c r="M245" s="14" t="n">
        <v>1</v>
      </c>
      <c r="N245" s="18" t="n">
        <v>0.042</v>
      </c>
    </row>
    <row r="246" customFormat="false" ht="15" hidden="false" customHeight="false" outlineLevel="0" collapsed="false">
      <c r="A246" s="12" t="s">
        <v>305</v>
      </c>
      <c r="B246" s="13" t="n">
        <v>45732</v>
      </c>
      <c r="C246" s="12" t="str">
        <f aca="false">TEXT(B246,"yyyy-mm")</f>
        <v>2025-03</v>
      </c>
      <c r="D246" s="12" t="s">
        <v>39</v>
      </c>
      <c r="E246" s="12" t="s">
        <v>49</v>
      </c>
      <c r="F246" s="12" t="s">
        <v>50</v>
      </c>
      <c r="G246" s="14" t="n">
        <v>1200</v>
      </c>
      <c r="H246" s="15" t="n">
        <v>17.57</v>
      </c>
      <c r="I246" s="15" t="n">
        <v>18.18</v>
      </c>
      <c r="J246" s="16" t="n">
        <f aca="false">G246*H246</f>
        <v>21084</v>
      </c>
      <c r="K246" s="16" t="n">
        <f aca="false">(H246-I246)*G246</f>
        <v>-731.999999999999</v>
      </c>
      <c r="L246" s="17" t="n">
        <f aca="false">IF(I246=0,0,H246/I246-1)</f>
        <v>-0.0335533553355335</v>
      </c>
      <c r="M246" s="14" t="n">
        <v>1</v>
      </c>
      <c r="N246" s="18" t="n">
        <v>0.041</v>
      </c>
    </row>
    <row r="247" customFormat="false" ht="15" hidden="false" customHeight="false" outlineLevel="0" collapsed="false">
      <c r="A247" s="12" t="s">
        <v>306</v>
      </c>
      <c r="B247" s="13" t="n">
        <v>45732</v>
      </c>
      <c r="C247" s="12" t="str">
        <f aca="false">TEXT(B247,"yyyy-mm")</f>
        <v>2025-03</v>
      </c>
      <c r="D247" s="12" t="s">
        <v>75</v>
      </c>
      <c r="E247" s="12" t="s">
        <v>40</v>
      </c>
      <c r="F247" s="12" t="s">
        <v>41</v>
      </c>
      <c r="G247" s="14" t="n">
        <v>600</v>
      </c>
      <c r="H247" s="15" t="n">
        <v>24.7</v>
      </c>
      <c r="I247" s="15" t="n">
        <v>24.69</v>
      </c>
      <c r="J247" s="16" t="n">
        <f aca="false">G247*H247</f>
        <v>14820</v>
      </c>
      <c r="K247" s="16" t="n">
        <f aca="false">(H247-I247)*G247</f>
        <v>5.99999999999881</v>
      </c>
      <c r="L247" s="17" t="n">
        <f aca="false">IF(I247=0,0,H247/I247-1)</f>
        <v>0.000405022276225075</v>
      </c>
      <c r="M247" s="14" t="n">
        <v>0</v>
      </c>
      <c r="N247" s="18" t="n">
        <v>0.017</v>
      </c>
    </row>
    <row r="248" customFormat="false" ht="15" hidden="false" customHeight="false" outlineLevel="0" collapsed="false">
      <c r="A248" s="12" t="s">
        <v>307</v>
      </c>
      <c r="B248" s="13" t="n">
        <v>45733</v>
      </c>
      <c r="C248" s="12" t="str">
        <f aca="false">TEXT(B248,"yyyy-mm")</f>
        <v>2025-03</v>
      </c>
      <c r="D248" s="12" t="s">
        <v>61</v>
      </c>
      <c r="E248" s="12" t="s">
        <v>36</v>
      </c>
      <c r="F248" s="12" t="s">
        <v>37</v>
      </c>
      <c r="G248" s="14" t="n">
        <v>1000</v>
      </c>
      <c r="H248" s="15" t="n">
        <v>14.64</v>
      </c>
      <c r="I248" s="15" t="n">
        <v>14.3</v>
      </c>
      <c r="J248" s="16" t="n">
        <f aca="false">G248*H248</f>
        <v>14640</v>
      </c>
      <c r="K248" s="16" t="n">
        <f aca="false">(H248-I248)*G248</f>
        <v>340</v>
      </c>
      <c r="L248" s="17" t="n">
        <f aca="false">IF(I248=0,0,H248/I248-1)</f>
        <v>0.0237762237762238</v>
      </c>
      <c r="M248" s="14" t="n">
        <v>1</v>
      </c>
      <c r="N248" s="18" t="n">
        <v>0.021</v>
      </c>
    </row>
    <row r="249" customFormat="false" ht="15" hidden="false" customHeight="false" outlineLevel="0" collapsed="false">
      <c r="A249" s="12" t="s">
        <v>308</v>
      </c>
      <c r="B249" s="13" t="n">
        <v>45733</v>
      </c>
      <c r="C249" s="12" t="str">
        <f aca="false">TEXT(B249,"yyyy-mm")</f>
        <v>2025-03</v>
      </c>
      <c r="D249" s="12" t="s">
        <v>35</v>
      </c>
      <c r="E249" s="12" t="s">
        <v>43</v>
      </c>
      <c r="F249" s="12" t="s">
        <v>44</v>
      </c>
      <c r="G249" s="14" t="n">
        <v>1200</v>
      </c>
      <c r="H249" s="15" t="n">
        <v>17.18</v>
      </c>
      <c r="I249" s="15" t="n">
        <v>16.39</v>
      </c>
      <c r="J249" s="16" t="n">
        <f aca="false">G249*H249</f>
        <v>20616</v>
      </c>
      <c r="K249" s="16" t="n">
        <f aca="false">(H249-I249)*G249</f>
        <v>947.999999999999</v>
      </c>
      <c r="L249" s="17" t="n">
        <f aca="false">IF(I249=0,0,H249/I249-1)</f>
        <v>0.0482001220256254</v>
      </c>
      <c r="M249" s="14" t="n">
        <v>1</v>
      </c>
      <c r="N249" s="18" t="n">
        <v>0.01</v>
      </c>
    </row>
    <row r="250" customFormat="false" ht="15" hidden="false" customHeight="false" outlineLevel="0" collapsed="false">
      <c r="A250" s="12" t="s">
        <v>309</v>
      </c>
      <c r="B250" s="13" t="n">
        <v>45733</v>
      </c>
      <c r="C250" s="12" t="str">
        <f aca="false">TEXT(B250,"yyyy-mm")</f>
        <v>2025-03</v>
      </c>
      <c r="D250" s="12" t="s">
        <v>75</v>
      </c>
      <c r="E250" s="12" t="s">
        <v>40</v>
      </c>
      <c r="F250" s="12" t="s">
        <v>41</v>
      </c>
      <c r="G250" s="14" t="n">
        <v>200</v>
      </c>
      <c r="H250" s="15" t="n">
        <v>24.98</v>
      </c>
      <c r="I250" s="15" t="n">
        <v>23.98</v>
      </c>
      <c r="J250" s="16" t="n">
        <f aca="false">G250*H250</f>
        <v>4996</v>
      </c>
      <c r="K250" s="16" t="n">
        <f aca="false">(H250-I250)*G250</f>
        <v>200</v>
      </c>
      <c r="L250" s="17" t="n">
        <f aca="false">IF(I250=0,0,H250/I250-1)</f>
        <v>0.0417014178482069</v>
      </c>
      <c r="M250" s="14" t="n">
        <v>1</v>
      </c>
      <c r="N250" s="18" t="n">
        <v>0.024</v>
      </c>
    </row>
    <row r="251" customFormat="false" ht="15" hidden="false" customHeight="false" outlineLevel="0" collapsed="false">
      <c r="A251" s="12" t="s">
        <v>310</v>
      </c>
      <c r="B251" s="13" t="n">
        <v>45734</v>
      </c>
      <c r="C251" s="12" t="str">
        <f aca="false">TEXT(B251,"yyyy-mm")</f>
        <v>2025-03</v>
      </c>
      <c r="D251" s="12" t="s">
        <v>58</v>
      </c>
      <c r="E251" s="12" t="s">
        <v>59</v>
      </c>
      <c r="F251" s="12" t="s">
        <v>55</v>
      </c>
      <c r="G251" s="14" t="n">
        <v>400</v>
      </c>
      <c r="H251" s="15" t="n">
        <v>31.58</v>
      </c>
      <c r="I251" s="15" t="n">
        <v>29.7</v>
      </c>
      <c r="J251" s="16" t="n">
        <f aca="false">G251*H251</f>
        <v>12632</v>
      </c>
      <c r="K251" s="16" t="n">
        <f aca="false">(H251-I251)*G251</f>
        <v>752</v>
      </c>
      <c r="L251" s="17" t="n">
        <f aca="false">IF(I251=0,0,H251/I251-1)</f>
        <v>0.0632996632996632</v>
      </c>
      <c r="M251" s="14" t="n">
        <v>1</v>
      </c>
      <c r="N251" s="18" t="n">
        <v>0.014</v>
      </c>
    </row>
    <row r="252" customFormat="false" ht="15" hidden="false" customHeight="false" outlineLevel="0" collapsed="false">
      <c r="A252" s="12" t="s">
        <v>311</v>
      </c>
      <c r="B252" s="13" t="n">
        <v>45734</v>
      </c>
      <c r="C252" s="12" t="str">
        <f aca="false">TEXT(B252,"yyyy-mm")</f>
        <v>2025-03</v>
      </c>
      <c r="D252" s="12" t="s">
        <v>39</v>
      </c>
      <c r="E252" s="12" t="s">
        <v>49</v>
      </c>
      <c r="F252" s="12" t="s">
        <v>50</v>
      </c>
      <c r="G252" s="14" t="n">
        <v>400</v>
      </c>
      <c r="H252" s="15" t="n">
        <v>18.17</v>
      </c>
      <c r="I252" s="15" t="n">
        <v>18.09</v>
      </c>
      <c r="J252" s="16" t="n">
        <f aca="false">G252*H252</f>
        <v>7268</v>
      </c>
      <c r="K252" s="16" t="n">
        <f aca="false">(H252-I252)*G252</f>
        <v>32.0000000000007</v>
      </c>
      <c r="L252" s="17" t="n">
        <f aca="false">IF(I252=0,0,H252/I252-1)</f>
        <v>0.00442233278054194</v>
      </c>
      <c r="M252" s="14" t="n">
        <v>1</v>
      </c>
      <c r="N252" s="18" t="n">
        <v>0.016</v>
      </c>
    </row>
    <row r="253" customFormat="false" ht="15" hidden="false" customHeight="false" outlineLevel="0" collapsed="false">
      <c r="A253" s="12" t="s">
        <v>312</v>
      </c>
      <c r="B253" s="13" t="n">
        <v>45734</v>
      </c>
      <c r="C253" s="12" t="str">
        <f aca="false">TEXT(B253,"yyyy-mm")</f>
        <v>2025-03</v>
      </c>
      <c r="D253" s="12" t="s">
        <v>61</v>
      </c>
      <c r="E253" s="12" t="s">
        <v>36</v>
      </c>
      <c r="F253" s="12" t="s">
        <v>37</v>
      </c>
      <c r="G253" s="14" t="n">
        <v>600</v>
      </c>
      <c r="H253" s="15" t="n">
        <v>14.78</v>
      </c>
      <c r="I253" s="15" t="n">
        <v>14.48</v>
      </c>
      <c r="J253" s="16" t="n">
        <f aca="false">G253*H253</f>
        <v>8868</v>
      </c>
      <c r="K253" s="16" t="n">
        <f aca="false">(H253-I253)*G253</f>
        <v>179.999999999999</v>
      </c>
      <c r="L253" s="17" t="n">
        <f aca="false">IF(I253=0,0,H253/I253-1)</f>
        <v>0.0207182320441988</v>
      </c>
      <c r="M253" s="14" t="n">
        <v>1</v>
      </c>
      <c r="N253" s="18" t="n">
        <v>0.015</v>
      </c>
    </row>
    <row r="254" customFormat="false" ht="15" hidden="false" customHeight="false" outlineLevel="0" collapsed="false">
      <c r="A254" s="12" t="s">
        <v>313</v>
      </c>
      <c r="B254" s="13" t="n">
        <v>45734</v>
      </c>
      <c r="C254" s="12" t="str">
        <f aca="false">TEXT(B254,"yyyy-mm")</f>
        <v>2025-03</v>
      </c>
      <c r="D254" s="12" t="s">
        <v>61</v>
      </c>
      <c r="E254" s="12" t="s">
        <v>36</v>
      </c>
      <c r="F254" s="12" t="s">
        <v>37</v>
      </c>
      <c r="G254" s="14" t="n">
        <v>600</v>
      </c>
      <c r="H254" s="15" t="n">
        <v>14.92</v>
      </c>
      <c r="I254" s="15" t="n">
        <v>14.49</v>
      </c>
      <c r="J254" s="16" t="n">
        <f aca="false">G254*H254</f>
        <v>8952</v>
      </c>
      <c r="K254" s="16" t="n">
        <f aca="false">(H254-I254)*G254</f>
        <v>258</v>
      </c>
      <c r="L254" s="17" t="n">
        <f aca="false">IF(I254=0,0,H254/I254-1)</f>
        <v>0.0296756383712906</v>
      </c>
      <c r="M254" s="14" t="n">
        <v>1</v>
      </c>
      <c r="N254" s="18" t="n">
        <v>0.018</v>
      </c>
    </row>
    <row r="255" customFormat="false" ht="15" hidden="false" customHeight="false" outlineLevel="0" collapsed="false">
      <c r="A255" s="12" t="s">
        <v>314</v>
      </c>
      <c r="B255" s="13" t="n">
        <v>45735</v>
      </c>
      <c r="C255" s="12" t="str">
        <f aca="false">TEXT(B255,"yyyy-mm")</f>
        <v>2025-03</v>
      </c>
      <c r="D255" s="12" t="s">
        <v>80</v>
      </c>
      <c r="E255" s="12" t="s">
        <v>81</v>
      </c>
      <c r="F255" s="12" t="s">
        <v>82</v>
      </c>
      <c r="G255" s="14" t="n">
        <v>1600</v>
      </c>
      <c r="H255" s="15" t="n">
        <v>21.5</v>
      </c>
      <c r="I255" s="15" t="n">
        <v>22.35</v>
      </c>
      <c r="J255" s="16" t="n">
        <f aca="false">G255*H255</f>
        <v>34400</v>
      </c>
      <c r="K255" s="16" t="n">
        <f aca="false">(H255-I255)*G255</f>
        <v>-1360</v>
      </c>
      <c r="L255" s="17" t="n">
        <f aca="false">IF(I255=0,0,H255/I255-1)</f>
        <v>-0.0380313199105146</v>
      </c>
      <c r="M255" s="14" t="n">
        <v>0</v>
      </c>
      <c r="N255" s="18" t="n">
        <v>0.03</v>
      </c>
    </row>
    <row r="256" customFormat="false" ht="15" hidden="false" customHeight="false" outlineLevel="0" collapsed="false">
      <c r="A256" s="12" t="s">
        <v>315</v>
      </c>
      <c r="B256" s="13" t="n">
        <v>45735</v>
      </c>
      <c r="C256" s="12" t="str">
        <f aca="false">TEXT(B256,"yyyy-mm")</f>
        <v>2025-03</v>
      </c>
      <c r="D256" s="12" t="s">
        <v>39</v>
      </c>
      <c r="E256" s="12" t="s">
        <v>46</v>
      </c>
      <c r="F256" s="12" t="s">
        <v>47</v>
      </c>
      <c r="G256" s="14" t="n">
        <v>1000</v>
      </c>
      <c r="H256" s="15" t="n">
        <v>19.06</v>
      </c>
      <c r="I256" s="15" t="n">
        <v>18.7</v>
      </c>
      <c r="J256" s="16" t="n">
        <f aca="false">G256*H256</f>
        <v>19060</v>
      </c>
      <c r="K256" s="16" t="n">
        <f aca="false">(H256-I256)*G256</f>
        <v>359.999999999999</v>
      </c>
      <c r="L256" s="17" t="n">
        <f aca="false">IF(I256=0,0,H256/I256-1)</f>
        <v>0.0192513368983958</v>
      </c>
      <c r="M256" s="14" t="n">
        <v>1</v>
      </c>
      <c r="N256" s="18" t="n">
        <v>0.005</v>
      </c>
    </row>
    <row r="257" customFormat="false" ht="15" hidden="false" customHeight="false" outlineLevel="0" collapsed="false">
      <c r="A257" s="12" t="s">
        <v>316</v>
      </c>
      <c r="B257" s="13" t="n">
        <v>45735</v>
      </c>
      <c r="C257" s="12" t="str">
        <f aca="false">TEXT(B257,"yyyy-mm")</f>
        <v>2025-03</v>
      </c>
      <c r="D257" s="12" t="s">
        <v>35</v>
      </c>
      <c r="E257" s="12" t="s">
        <v>43</v>
      </c>
      <c r="F257" s="12" t="s">
        <v>44</v>
      </c>
      <c r="G257" s="14" t="n">
        <v>1600</v>
      </c>
      <c r="H257" s="15" t="n">
        <v>16.56</v>
      </c>
      <c r="I257" s="15" t="n">
        <v>15.85</v>
      </c>
      <c r="J257" s="16" t="n">
        <f aca="false">G257*H257</f>
        <v>26496</v>
      </c>
      <c r="K257" s="16" t="n">
        <f aca="false">(H257-I257)*G257</f>
        <v>1136</v>
      </c>
      <c r="L257" s="17" t="n">
        <f aca="false">IF(I257=0,0,H257/I257-1)</f>
        <v>0.044794952681388</v>
      </c>
      <c r="M257" s="14" t="n">
        <v>1</v>
      </c>
      <c r="N257" s="18" t="n">
        <v>0.006</v>
      </c>
    </row>
    <row r="258" customFormat="false" ht="15" hidden="false" customHeight="false" outlineLevel="0" collapsed="false">
      <c r="A258" s="12" t="s">
        <v>317</v>
      </c>
      <c r="B258" s="13" t="n">
        <v>45735</v>
      </c>
      <c r="C258" s="12" t="str">
        <f aca="false">TEXT(B258,"yyyy-mm")</f>
        <v>2025-03</v>
      </c>
      <c r="D258" s="12" t="s">
        <v>61</v>
      </c>
      <c r="E258" s="12" t="s">
        <v>43</v>
      </c>
      <c r="F258" s="12" t="s">
        <v>44</v>
      </c>
      <c r="G258" s="14" t="n">
        <v>400</v>
      </c>
      <c r="H258" s="15" t="n">
        <v>14.61</v>
      </c>
      <c r="I258" s="15" t="n">
        <v>13.92</v>
      </c>
      <c r="J258" s="16" t="n">
        <f aca="false">G258*H258</f>
        <v>5844</v>
      </c>
      <c r="K258" s="16" t="n">
        <f aca="false">(H258-I258)*G258</f>
        <v>276</v>
      </c>
      <c r="L258" s="17" t="n">
        <f aca="false">IF(I258=0,0,H258/I258-1)</f>
        <v>0.0495689655172413</v>
      </c>
      <c r="M258" s="14" t="n">
        <v>1</v>
      </c>
      <c r="N258" s="18" t="n">
        <v>0.008</v>
      </c>
    </row>
    <row r="259" customFormat="false" ht="15" hidden="false" customHeight="false" outlineLevel="0" collapsed="false">
      <c r="A259" s="12" t="s">
        <v>318</v>
      </c>
      <c r="B259" s="13" t="n">
        <v>45736</v>
      </c>
      <c r="C259" s="12" t="str">
        <f aca="false">TEXT(B259,"yyyy-mm")</f>
        <v>2025-03</v>
      </c>
      <c r="D259" s="12" t="s">
        <v>39</v>
      </c>
      <c r="E259" s="12" t="s">
        <v>46</v>
      </c>
      <c r="F259" s="12" t="s">
        <v>47</v>
      </c>
      <c r="G259" s="14" t="n">
        <v>200</v>
      </c>
      <c r="H259" s="15" t="n">
        <v>20.17</v>
      </c>
      <c r="I259" s="15" t="n">
        <v>18.65</v>
      </c>
      <c r="J259" s="16" t="n">
        <f aca="false">G259*H259</f>
        <v>4034</v>
      </c>
      <c r="K259" s="16" t="n">
        <f aca="false">(H259-I259)*G259</f>
        <v>304.000000000001</v>
      </c>
      <c r="L259" s="17" t="n">
        <f aca="false">IF(I259=0,0,H259/I259-1)</f>
        <v>0.081501340482574</v>
      </c>
      <c r="M259" s="14" t="n">
        <v>1</v>
      </c>
      <c r="N259" s="18" t="n">
        <v>0.007</v>
      </c>
    </row>
    <row r="260" customFormat="false" ht="15" hidden="false" customHeight="false" outlineLevel="0" collapsed="false">
      <c r="A260" s="12" t="s">
        <v>319</v>
      </c>
      <c r="B260" s="13" t="n">
        <v>45736</v>
      </c>
      <c r="C260" s="12" t="str">
        <f aca="false">TEXT(B260,"yyyy-mm")</f>
        <v>2025-03</v>
      </c>
      <c r="D260" s="12" t="s">
        <v>35</v>
      </c>
      <c r="E260" s="12" t="s">
        <v>36</v>
      </c>
      <c r="F260" s="12" t="s">
        <v>37</v>
      </c>
      <c r="G260" s="14" t="n">
        <v>400</v>
      </c>
      <c r="H260" s="15" t="n">
        <v>16.34</v>
      </c>
      <c r="I260" s="15" t="n">
        <v>16.47</v>
      </c>
      <c r="J260" s="16" t="n">
        <f aca="false">G260*H260</f>
        <v>6536</v>
      </c>
      <c r="K260" s="16" t="n">
        <f aca="false">(H260-I260)*G260</f>
        <v>-51.9999999999996</v>
      </c>
      <c r="L260" s="17" t="n">
        <f aca="false">IF(I260=0,0,H260/I260-1)</f>
        <v>-0.00789313904068001</v>
      </c>
      <c r="M260" s="14" t="n">
        <v>1</v>
      </c>
      <c r="N260" s="18" t="n">
        <v>0.022</v>
      </c>
    </row>
    <row r="261" customFormat="false" ht="15" hidden="false" customHeight="false" outlineLevel="0" collapsed="false">
      <c r="A261" s="12" t="s">
        <v>320</v>
      </c>
      <c r="B261" s="13" t="n">
        <v>45736</v>
      </c>
      <c r="C261" s="12" t="str">
        <f aca="false">TEXT(B261,"yyyy-mm")</f>
        <v>2025-03</v>
      </c>
      <c r="D261" s="12" t="s">
        <v>75</v>
      </c>
      <c r="E261" s="12" t="s">
        <v>76</v>
      </c>
      <c r="F261" s="12" t="s">
        <v>77</v>
      </c>
      <c r="G261" s="14" t="n">
        <v>1600</v>
      </c>
      <c r="H261" s="15" t="n">
        <v>25.07</v>
      </c>
      <c r="I261" s="15" t="n">
        <v>24.43</v>
      </c>
      <c r="J261" s="16" t="n">
        <f aca="false">G261*H261</f>
        <v>40112</v>
      </c>
      <c r="K261" s="16" t="n">
        <f aca="false">(H261-I261)*G261</f>
        <v>1024</v>
      </c>
      <c r="L261" s="17" t="n">
        <f aca="false">IF(I261=0,0,H261/I261-1)</f>
        <v>0.0261972984036021</v>
      </c>
      <c r="M261" s="14" t="n">
        <v>1</v>
      </c>
      <c r="N261" s="18" t="n">
        <v>0.012</v>
      </c>
    </row>
    <row r="262" customFormat="false" ht="15" hidden="false" customHeight="false" outlineLevel="0" collapsed="false">
      <c r="A262" s="12" t="s">
        <v>321</v>
      </c>
      <c r="B262" s="13" t="n">
        <v>45736</v>
      </c>
      <c r="C262" s="12" t="str">
        <f aca="false">TEXT(B262,"yyyy-mm")</f>
        <v>2025-03</v>
      </c>
      <c r="D262" s="12" t="s">
        <v>80</v>
      </c>
      <c r="E262" s="12" t="s">
        <v>81</v>
      </c>
      <c r="F262" s="12" t="s">
        <v>82</v>
      </c>
      <c r="G262" s="14" t="n">
        <v>1000</v>
      </c>
      <c r="H262" s="15" t="n">
        <v>21.98</v>
      </c>
      <c r="I262" s="15" t="n">
        <v>22.14</v>
      </c>
      <c r="J262" s="16" t="n">
        <f aca="false">G262*H262</f>
        <v>21980</v>
      </c>
      <c r="K262" s="16" t="n">
        <f aca="false">(H262-I262)*G262</f>
        <v>-160</v>
      </c>
      <c r="L262" s="17" t="n">
        <f aca="false">IF(I262=0,0,H262/I262-1)</f>
        <v>-0.00722673893405601</v>
      </c>
      <c r="M262" s="14" t="n">
        <v>1</v>
      </c>
      <c r="N262" s="18" t="n">
        <v>0.034</v>
      </c>
    </row>
    <row r="263" customFormat="false" ht="15" hidden="false" customHeight="false" outlineLevel="0" collapsed="false">
      <c r="A263" s="12" t="s">
        <v>322</v>
      </c>
      <c r="B263" s="13" t="n">
        <v>45737</v>
      </c>
      <c r="C263" s="12" t="str">
        <f aca="false">TEXT(B263,"yyyy-mm")</f>
        <v>2025-03</v>
      </c>
      <c r="D263" s="12" t="s">
        <v>39</v>
      </c>
      <c r="E263" s="12" t="s">
        <v>46</v>
      </c>
      <c r="F263" s="12" t="s">
        <v>47</v>
      </c>
      <c r="G263" s="14" t="n">
        <v>800</v>
      </c>
      <c r="H263" s="15" t="n">
        <v>18.4</v>
      </c>
      <c r="I263" s="15" t="n">
        <v>17.9</v>
      </c>
      <c r="J263" s="16" t="n">
        <f aca="false">G263*H263</f>
        <v>14720</v>
      </c>
      <c r="K263" s="16" t="n">
        <f aca="false">(H263-I263)*G263</f>
        <v>400</v>
      </c>
      <c r="L263" s="17" t="n">
        <f aca="false">IF(I263=0,0,H263/I263-1)</f>
        <v>0.0279329608938548</v>
      </c>
      <c r="M263" s="14" t="n">
        <v>1</v>
      </c>
      <c r="N263" s="18" t="n">
        <v>0.01</v>
      </c>
    </row>
    <row r="264" customFormat="false" ht="15" hidden="false" customHeight="false" outlineLevel="0" collapsed="false">
      <c r="A264" s="12" t="s">
        <v>323</v>
      </c>
      <c r="B264" s="13" t="n">
        <v>45737</v>
      </c>
      <c r="C264" s="12" t="str">
        <f aca="false">TEXT(B264,"yyyy-mm")</f>
        <v>2025-03</v>
      </c>
      <c r="D264" s="12" t="s">
        <v>35</v>
      </c>
      <c r="E264" s="12" t="s">
        <v>43</v>
      </c>
      <c r="F264" s="12" t="s">
        <v>44</v>
      </c>
      <c r="G264" s="14" t="n">
        <v>800</v>
      </c>
      <c r="H264" s="15" t="n">
        <v>16.47</v>
      </c>
      <c r="I264" s="15" t="n">
        <v>15.88</v>
      </c>
      <c r="J264" s="16" t="n">
        <f aca="false">G264*H264</f>
        <v>13176</v>
      </c>
      <c r="K264" s="16" t="n">
        <f aca="false">(H264-I264)*G264</f>
        <v>471.999999999998</v>
      </c>
      <c r="L264" s="17" t="n">
        <f aca="false">IF(I264=0,0,H264/I264-1)</f>
        <v>0.037153652392947</v>
      </c>
      <c r="M264" s="14" t="n">
        <v>1</v>
      </c>
      <c r="N264" s="18" t="n">
        <v>0.01</v>
      </c>
    </row>
    <row r="265" customFormat="false" ht="15" hidden="false" customHeight="false" outlineLevel="0" collapsed="false">
      <c r="A265" s="12" t="s">
        <v>324</v>
      </c>
      <c r="B265" s="13" t="n">
        <v>45737</v>
      </c>
      <c r="C265" s="12" t="str">
        <f aca="false">TEXT(B265,"yyyy-mm")</f>
        <v>2025-03</v>
      </c>
      <c r="D265" s="12" t="s">
        <v>58</v>
      </c>
      <c r="E265" s="12" t="s">
        <v>76</v>
      </c>
      <c r="F265" s="12" t="s">
        <v>77</v>
      </c>
      <c r="G265" s="14" t="n">
        <v>1200</v>
      </c>
      <c r="H265" s="15" t="n">
        <v>31.09</v>
      </c>
      <c r="I265" s="15" t="n">
        <v>31.02</v>
      </c>
      <c r="J265" s="16" t="n">
        <f aca="false">G265*H265</f>
        <v>37308</v>
      </c>
      <c r="K265" s="16" t="n">
        <f aca="false">(H265-I265)*G265</f>
        <v>84.0000000000003</v>
      </c>
      <c r="L265" s="17" t="n">
        <f aca="false">IF(I265=0,0,H265/I265-1)</f>
        <v>0.00225660863958743</v>
      </c>
      <c r="M265" s="14" t="n">
        <v>1</v>
      </c>
      <c r="N265" s="18" t="n">
        <v>0.031</v>
      </c>
    </row>
    <row r="266" customFormat="false" ht="15" hidden="false" customHeight="false" outlineLevel="0" collapsed="false">
      <c r="A266" s="12" t="s">
        <v>325</v>
      </c>
      <c r="B266" s="13" t="n">
        <v>45737</v>
      </c>
      <c r="C266" s="12" t="str">
        <f aca="false">TEXT(B266,"yyyy-mm")</f>
        <v>2025-03</v>
      </c>
      <c r="D266" s="12" t="s">
        <v>53</v>
      </c>
      <c r="E266" s="12" t="s">
        <v>54</v>
      </c>
      <c r="F266" s="12" t="s">
        <v>55</v>
      </c>
      <c r="G266" s="14" t="n">
        <v>200</v>
      </c>
      <c r="H266" s="15" t="n">
        <v>15.88</v>
      </c>
      <c r="I266" s="15" t="n">
        <v>15.04</v>
      </c>
      <c r="J266" s="16" t="n">
        <f aca="false">G266*H266</f>
        <v>3176</v>
      </c>
      <c r="K266" s="16" t="n">
        <f aca="false">(H266-I266)*G266</f>
        <v>168</v>
      </c>
      <c r="L266" s="17" t="n">
        <f aca="false">IF(I266=0,0,H266/I266-1)</f>
        <v>0.0558510638297873</v>
      </c>
      <c r="M266" s="14" t="n">
        <v>1</v>
      </c>
      <c r="N266" s="18" t="n">
        <v>0.02</v>
      </c>
    </row>
    <row r="267" customFormat="false" ht="15" hidden="false" customHeight="false" outlineLevel="0" collapsed="false">
      <c r="A267" s="12" t="s">
        <v>326</v>
      </c>
      <c r="B267" s="13" t="n">
        <v>45737</v>
      </c>
      <c r="C267" s="12" t="str">
        <f aca="false">TEXT(B267,"yyyy-mm")</f>
        <v>2025-03</v>
      </c>
      <c r="D267" s="12" t="s">
        <v>80</v>
      </c>
      <c r="E267" s="12" t="s">
        <v>81</v>
      </c>
      <c r="F267" s="12" t="s">
        <v>82</v>
      </c>
      <c r="G267" s="14" t="n">
        <v>1600</v>
      </c>
      <c r="H267" s="15" t="n">
        <v>22.64</v>
      </c>
      <c r="I267" s="15" t="n">
        <v>22.59</v>
      </c>
      <c r="J267" s="16" t="n">
        <f aca="false">G267*H267</f>
        <v>36224</v>
      </c>
      <c r="K267" s="16" t="n">
        <f aca="false">(H267-I267)*G267</f>
        <v>80.0000000000011</v>
      </c>
      <c r="L267" s="17" t="n">
        <f aca="false">IF(I267=0,0,H267/I267-1)</f>
        <v>0.00221336874723321</v>
      </c>
      <c r="M267" s="14" t="n">
        <v>1</v>
      </c>
      <c r="N267" s="18" t="n">
        <v>0.041</v>
      </c>
    </row>
    <row r="268" customFormat="false" ht="15" hidden="false" customHeight="false" outlineLevel="0" collapsed="false">
      <c r="A268" s="12" t="s">
        <v>327</v>
      </c>
      <c r="B268" s="13" t="n">
        <v>45738</v>
      </c>
      <c r="C268" s="12" t="str">
        <f aca="false">TEXT(B268,"yyyy-mm")</f>
        <v>2025-03</v>
      </c>
      <c r="D268" s="12" t="s">
        <v>39</v>
      </c>
      <c r="E268" s="12" t="s">
        <v>40</v>
      </c>
      <c r="F268" s="12" t="s">
        <v>41</v>
      </c>
      <c r="G268" s="14" t="n">
        <v>1600</v>
      </c>
      <c r="H268" s="15" t="n">
        <v>18.78</v>
      </c>
      <c r="I268" s="15" t="n">
        <v>18.1</v>
      </c>
      <c r="J268" s="16" t="n">
        <f aca="false">G268*H268</f>
        <v>30048</v>
      </c>
      <c r="K268" s="16" t="n">
        <f aca="false">(H268-I268)*G268</f>
        <v>1088</v>
      </c>
      <c r="L268" s="17" t="n">
        <f aca="false">IF(I268=0,0,H268/I268-1)</f>
        <v>0.0375690607734807</v>
      </c>
      <c r="M268" s="14" t="n">
        <v>1</v>
      </c>
      <c r="N268" s="18" t="n">
        <v>0.014</v>
      </c>
    </row>
    <row r="269" customFormat="false" ht="15" hidden="false" customHeight="false" outlineLevel="0" collapsed="false">
      <c r="A269" s="12" t="s">
        <v>328</v>
      </c>
      <c r="B269" s="13" t="n">
        <v>45738</v>
      </c>
      <c r="C269" s="12" t="str">
        <f aca="false">TEXT(B269,"yyyy-mm")</f>
        <v>2025-03</v>
      </c>
      <c r="D269" s="12" t="s">
        <v>35</v>
      </c>
      <c r="E269" s="12" t="s">
        <v>43</v>
      </c>
      <c r="F269" s="12" t="s">
        <v>44</v>
      </c>
      <c r="G269" s="14" t="n">
        <v>2000</v>
      </c>
      <c r="H269" s="15" t="n">
        <v>17.2</v>
      </c>
      <c r="I269" s="15" t="n">
        <v>16.43</v>
      </c>
      <c r="J269" s="16" t="n">
        <f aca="false">G269*H269</f>
        <v>34400</v>
      </c>
      <c r="K269" s="16" t="n">
        <f aca="false">(H269-I269)*G269</f>
        <v>1540</v>
      </c>
      <c r="L269" s="17" t="n">
        <f aca="false">IF(I269=0,0,H269/I269-1)</f>
        <v>0.046865489957395</v>
      </c>
      <c r="M269" s="14" t="n">
        <v>1</v>
      </c>
      <c r="N269" s="18" t="n">
        <v>0.012</v>
      </c>
    </row>
    <row r="270" customFormat="false" ht="15" hidden="false" customHeight="false" outlineLevel="0" collapsed="false">
      <c r="A270" s="12" t="s">
        <v>329</v>
      </c>
      <c r="B270" s="13" t="n">
        <v>45739</v>
      </c>
      <c r="C270" s="12" t="str">
        <f aca="false">TEXT(B270,"yyyy-mm")</f>
        <v>2025-03</v>
      </c>
      <c r="D270" s="12" t="s">
        <v>58</v>
      </c>
      <c r="E270" s="12" t="s">
        <v>76</v>
      </c>
      <c r="F270" s="12" t="s">
        <v>77</v>
      </c>
      <c r="G270" s="14" t="n">
        <v>800</v>
      </c>
      <c r="H270" s="15" t="n">
        <v>30.69</v>
      </c>
      <c r="I270" s="15" t="n">
        <v>29.64</v>
      </c>
      <c r="J270" s="16" t="n">
        <f aca="false">G270*H270</f>
        <v>24552</v>
      </c>
      <c r="K270" s="16" t="n">
        <f aca="false">(H270-I270)*G270</f>
        <v>840.000000000001</v>
      </c>
      <c r="L270" s="17" t="n">
        <f aca="false">IF(I270=0,0,H270/I270-1)</f>
        <v>0.035425101214575</v>
      </c>
      <c r="M270" s="14" t="n">
        <v>1</v>
      </c>
      <c r="N270" s="18" t="n">
        <v>0.023</v>
      </c>
    </row>
    <row r="271" customFormat="false" ht="15" hidden="false" customHeight="false" outlineLevel="0" collapsed="false">
      <c r="A271" s="12" t="s">
        <v>330</v>
      </c>
      <c r="B271" s="13" t="n">
        <v>45739</v>
      </c>
      <c r="C271" s="12" t="str">
        <f aca="false">TEXT(B271,"yyyy-mm")</f>
        <v>2025-03</v>
      </c>
      <c r="D271" s="12" t="s">
        <v>80</v>
      </c>
      <c r="E271" s="12" t="s">
        <v>92</v>
      </c>
      <c r="F271" s="12" t="s">
        <v>93</v>
      </c>
      <c r="G271" s="14" t="n">
        <v>1600</v>
      </c>
      <c r="H271" s="15" t="n">
        <v>21.05</v>
      </c>
      <c r="I271" s="15" t="n">
        <v>22.55</v>
      </c>
      <c r="J271" s="16" t="n">
        <f aca="false">G271*H271</f>
        <v>33680</v>
      </c>
      <c r="K271" s="16" t="n">
        <f aca="false">(H271-I271)*G271</f>
        <v>-2400</v>
      </c>
      <c r="L271" s="17" t="n">
        <f aca="false">IF(I271=0,0,H271/I271-1)</f>
        <v>-0.0665188470066519</v>
      </c>
      <c r="M271" s="14" t="n">
        <v>1</v>
      </c>
      <c r="N271" s="18" t="n">
        <v>0.045</v>
      </c>
    </row>
    <row r="272" customFormat="false" ht="15" hidden="false" customHeight="false" outlineLevel="0" collapsed="false">
      <c r="A272" s="12" t="s">
        <v>331</v>
      </c>
      <c r="B272" s="13" t="n">
        <v>45739</v>
      </c>
      <c r="C272" s="12" t="str">
        <f aca="false">TEXT(B272,"yyyy-mm")</f>
        <v>2025-03</v>
      </c>
      <c r="D272" s="12" t="s">
        <v>80</v>
      </c>
      <c r="E272" s="12" t="s">
        <v>81</v>
      </c>
      <c r="F272" s="12" t="s">
        <v>82</v>
      </c>
      <c r="G272" s="14" t="n">
        <v>1000</v>
      </c>
      <c r="H272" s="15" t="n">
        <v>21.83</v>
      </c>
      <c r="I272" s="15" t="n">
        <v>22.32</v>
      </c>
      <c r="J272" s="16" t="n">
        <f aca="false">G272*H272</f>
        <v>21830</v>
      </c>
      <c r="K272" s="16" t="n">
        <f aca="false">(H272-I272)*G272</f>
        <v>-490.000000000002</v>
      </c>
      <c r="L272" s="17" t="n">
        <f aca="false">IF(I272=0,0,H272/I272-1)</f>
        <v>-0.0219534050179212</v>
      </c>
      <c r="M272" s="14" t="n">
        <v>1</v>
      </c>
      <c r="N272" s="18" t="n">
        <v>0.041</v>
      </c>
    </row>
    <row r="273" customFormat="false" ht="15" hidden="false" customHeight="false" outlineLevel="0" collapsed="false">
      <c r="A273" s="12" t="s">
        <v>332</v>
      </c>
      <c r="B273" s="13" t="n">
        <v>45739</v>
      </c>
      <c r="C273" s="12" t="str">
        <f aca="false">TEXT(B273,"yyyy-mm")</f>
        <v>2025-03</v>
      </c>
      <c r="D273" s="12" t="s">
        <v>35</v>
      </c>
      <c r="E273" s="12" t="s">
        <v>43</v>
      </c>
      <c r="F273" s="12" t="s">
        <v>44</v>
      </c>
      <c r="G273" s="14" t="n">
        <v>800</v>
      </c>
      <c r="H273" s="15" t="n">
        <v>16.62</v>
      </c>
      <c r="I273" s="15" t="n">
        <v>15.98</v>
      </c>
      <c r="J273" s="16" t="n">
        <f aca="false">G273*H273</f>
        <v>13296</v>
      </c>
      <c r="K273" s="16" t="n">
        <f aca="false">(H273-I273)*G273</f>
        <v>512.000000000001</v>
      </c>
      <c r="L273" s="17" t="n">
        <f aca="false">IF(I273=0,0,H273/I273-1)</f>
        <v>0.0400500625782227</v>
      </c>
      <c r="M273" s="14" t="n">
        <v>1</v>
      </c>
      <c r="N273" s="18" t="n">
        <v>0.017</v>
      </c>
    </row>
    <row r="274" customFormat="false" ht="15" hidden="false" customHeight="false" outlineLevel="0" collapsed="false">
      <c r="A274" s="12" t="s">
        <v>333</v>
      </c>
      <c r="B274" s="13" t="n">
        <v>45740</v>
      </c>
      <c r="C274" s="12" t="str">
        <f aca="false">TEXT(B274,"yyyy-mm")</f>
        <v>2025-03</v>
      </c>
      <c r="D274" s="12" t="s">
        <v>111</v>
      </c>
      <c r="E274" s="12" t="s">
        <v>76</v>
      </c>
      <c r="F274" s="12" t="s">
        <v>77</v>
      </c>
      <c r="G274" s="14" t="n">
        <v>400</v>
      </c>
      <c r="H274" s="15" t="n">
        <v>20.37</v>
      </c>
      <c r="I274" s="15" t="n">
        <v>19.74</v>
      </c>
      <c r="J274" s="16" t="n">
        <f aca="false">G274*H274</f>
        <v>8148</v>
      </c>
      <c r="K274" s="16" t="n">
        <f aca="false">(H274-I274)*G274</f>
        <v>252.000000000001</v>
      </c>
      <c r="L274" s="17" t="n">
        <f aca="false">IF(I274=0,0,H274/I274-1)</f>
        <v>0.0319148936170215</v>
      </c>
      <c r="M274" s="14" t="n">
        <v>1</v>
      </c>
      <c r="N274" s="18" t="n">
        <v>0.019</v>
      </c>
    </row>
    <row r="275" customFormat="false" ht="15" hidden="false" customHeight="false" outlineLevel="0" collapsed="false">
      <c r="A275" s="12" t="s">
        <v>334</v>
      </c>
      <c r="B275" s="13" t="n">
        <v>45740</v>
      </c>
      <c r="C275" s="12" t="str">
        <f aca="false">TEXT(B275,"yyyy-mm")</f>
        <v>2025-03</v>
      </c>
      <c r="D275" s="12" t="s">
        <v>61</v>
      </c>
      <c r="E275" s="12" t="s">
        <v>43</v>
      </c>
      <c r="F275" s="12" t="s">
        <v>44</v>
      </c>
      <c r="G275" s="14" t="n">
        <v>400</v>
      </c>
      <c r="H275" s="15" t="n">
        <v>15.09</v>
      </c>
      <c r="I275" s="15" t="n">
        <v>14.16</v>
      </c>
      <c r="J275" s="16" t="n">
        <f aca="false">G275*H275</f>
        <v>6036</v>
      </c>
      <c r="K275" s="16" t="n">
        <f aca="false">(H275-I275)*G275</f>
        <v>372</v>
      </c>
      <c r="L275" s="17" t="n">
        <f aca="false">IF(I275=0,0,H275/I275-1)</f>
        <v>0.0656779661016949</v>
      </c>
      <c r="M275" s="14" t="n">
        <v>1</v>
      </c>
      <c r="N275" s="18" t="n">
        <v>0.01</v>
      </c>
    </row>
    <row r="276" customFormat="false" ht="15" hidden="false" customHeight="false" outlineLevel="0" collapsed="false">
      <c r="A276" s="12" t="s">
        <v>335</v>
      </c>
      <c r="B276" s="13" t="n">
        <v>45740</v>
      </c>
      <c r="C276" s="12" t="str">
        <f aca="false">TEXT(B276,"yyyy-mm")</f>
        <v>2025-03</v>
      </c>
      <c r="D276" s="12" t="s">
        <v>61</v>
      </c>
      <c r="E276" s="12" t="s">
        <v>36</v>
      </c>
      <c r="F276" s="12" t="s">
        <v>37</v>
      </c>
      <c r="G276" s="14" t="n">
        <v>1200</v>
      </c>
      <c r="H276" s="15" t="n">
        <v>13.97</v>
      </c>
      <c r="I276" s="15" t="n">
        <v>14.26</v>
      </c>
      <c r="J276" s="16" t="n">
        <f aca="false">G276*H276</f>
        <v>16764</v>
      </c>
      <c r="K276" s="16" t="n">
        <f aca="false">(H276-I276)*G276</f>
        <v>-347.999999999999</v>
      </c>
      <c r="L276" s="17" t="n">
        <f aca="false">IF(I276=0,0,H276/I276-1)</f>
        <v>-0.020336605890603</v>
      </c>
      <c r="M276" s="14" t="n">
        <v>1</v>
      </c>
      <c r="N276" s="18" t="n">
        <v>0.014</v>
      </c>
    </row>
    <row r="277" customFormat="false" ht="15" hidden="false" customHeight="false" outlineLevel="0" collapsed="false">
      <c r="A277" s="12" t="s">
        <v>336</v>
      </c>
      <c r="B277" s="13" t="n">
        <v>45740</v>
      </c>
      <c r="C277" s="12" t="str">
        <f aca="false">TEXT(B277,"yyyy-mm")</f>
        <v>2025-03</v>
      </c>
      <c r="D277" s="12" t="s">
        <v>80</v>
      </c>
      <c r="E277" s="12" t="s">
        <v>81</v>
      </c>
      <c r="F277" s="12" t="s">
        <v>82</v>
      </c>
      <c r="G277" s="14" t="n">
        <v>2000</v>
      </c>
      <c r="H277" s="15" t="n">
        <v>21.59</v>
      </c>
      <c r="I277" s="15" t="n">
        <v>21.98</v>
      </c>
      <c r="J277" s="16" t="n">
        <f aca="false">G277*H277</f>
        <v>43180</v>
      </c>
      <c r="K277" s="16" t="n">
        <f aca="false">(H277-I277)*G277</f>
        <v>-780.000000000001</v>
      </c>
      <c r="L277" s="17" t="n">
        <f aca="false">IF(I277=0,0,H277/I277-1)</f>
        <v>-0.0177434030937216</v>
      </c>
      <c r="M277" s="14" t="n">
        <v>1</v>
      </c>
      <c r="N277" s="18" t="n">
        <v>0.058</v>
      </c>
    </row>
    <row r="278" customFormat="false" ht="15" hidden="false" customHeight="false" outlineLevel="0" collapsed="false">
      <c r="A278" s="12" t="s">
        <v>337</v>
      </c>
      <c r="B278" s="13" t="n">
        <v>45740</v>
      </c>
      <c r="C278" s="12" t="str">
        <f aca="false">TEXT(B278,"yyyy-mm")</f>
        <v>2025-03</v>
      </c>
      <c r="D278" s="12" t="s">
        <v>35</v>
      </c>
      <c r="E278" s="12" t="s">
        <v>43</v>
      </c>
      <c r="F278" s="12" t="s">
        <v>44</v>
      </c>
      <c r="G278" s="14" t="n">
        <v>1200</v>
      </c>
      <c r="H278" s="15" t="n">
        <v>15.81</v>
      </c>
      <c r="I278" s="15" t="n">
        <v>15.8</v>
      </c>
      <c r="J278" s="16" t="n">
        <f aca="false">G278*H278</f>
        <v>18972</v>
      </c>
      <c r="K278" s="16" t="n">
        <f aca="false">(H278-I278)*G278</f>
        <v>11.9999999999997</v>
      </c>
      <c r="L278" s="17" t="n">
        <f aca="false">IF(I278=0,0,H278/I278-1)</f>
        <v>0.000632911392405067</v>
      </c>
      <c r="M278" s="14" t="n">
        <v>1</v>
      </c>
      <c r="N278" s="18" t="n">
        <v>0.016</v>
      </c>
    </row>
    <row r="279" customFormat="false" ht="15" hidden="false" customHeight="false" outlineLevel="0" collapsed="false">
      <c r="A279" s="12" t="s">
        <v>338</v>
      </c>
      <c r="B279" s="13" t="n">
        <v>45740</v>
      </c>
      <c r="C279" s="12" t="str">
        <f aca="false">TEXT(B279,"yyyy-mm")</f>
        <v>2025-03</v>
      </c>
      <c r="D279" s="12" t="s">
        <v>58</v>
      </c>
      <c r="E279" s="12" t="s">
        <v>76</v>
      </c>
      <c r="F279" s="12" t="s">
        <v>77</v>
      </c>
      <c r="G279" s="14" t="n">
        <v>600</v>
      </c>
      <c r="H279" s="15" t="n">
        <v>29.94</v>
      </c>
      <c r="I279" s="15" t="n">
        <v>30.07</v>
      </c>
      <c r="J279" s="16" t="n">
        <f aca="false">G279*H279</f>
        <v>17964</v>
      </c>
      <c r="K279" s="16" t="n">
        <f aca="false">(H279-I279)*G279</f>
        <v>-77.9999999999994</v>
      </c>
      <c r="L279" s="17" t="n">
        <f aca="false">IF(I279=0,0,H279/I279-1)</f>
        <v>-0.00432324575989351</v>
      </c>
      <c r="M279" s="14" t="n">
        <v>0</v>
      </c>
      <c r="N279" s="18" t="n">
        <v>0.028</v>
      </c>
    </row>
    <row r="280" customFormat="false" ht="15" hidden="false" customHeight="false" outlineLevel="0" collapsed="false">
      <c r="A280" s="12" t="s">
        <v>339</v>
      </c>
      <c r="B280" s="13" t="n">
        <v>45740</v>
      </c>
      <c r="C280" s="12" t="str">
        <f aca="false">TEXT(B280,"yyyy-mm")</f>
        <v>2025-03</v>
      </c>
      <c r="D280" s="12" t="s">
        <v>39</v>
      </c>
      <c r="E280" s="12" t="s">
        <v>46</v>
      </c>
      <c r="F280" s="12" t="s">
        <v>47</v>
      </c>
      <c r="G280" s="14" t="n">
        <v>200</v>
      </c>
      <c r="H280" s="15" t="n">
        <v>19.65</v>
      </c>
      <c r="I280" s="15" t="n">
        <v>18.7</v>
      </c>
      <c r="J280" s="16" t="n">
        <f aca="false">G280*H280</f>
        <v>3930</v>
      </c>
      <c r="K280" s="16" t="n">
        <f aca="false">(H280-I280)*G280</f>
        <v>190</v>
      </c>
      <c r="L280" s="17" t="n">
        <f aca="false">IF(I280=0,0,H280/I280-1)</f>
        <v>0.0508021390374331</v>
      </c>
      <c r="M280" s="14" t="n">
        <v>1</v>
      </c>
      <c r="N280" s="18" t="n">
        <v>0.01</v>
      </c>
    </row>
    <row r="281" customFormat="false" ht="15" hidden="false" customHeight="false" outlineLevel="0" collapsed="false">
      <c r="A281" s="12" t="s">
        <v>340</v>
      </c>
      <c r="B281" s="13" t="n">
        <v>45740</v>
      </c>
      <c r="C281" s="12" t="str">
        <f aca="false">TEXT(B281,"yyyy-mm")</f>
        <v>2025-03</v>
      </c>
      <c r="D281" s="12" t="s">
        <v>35</v>
      </c>
      <c r="E281" s="12" t="s">
        <v>36</v>
      </c>
      <c r="F281" s="12" t="s">
        <v>37</v>
      </c>
      <c r="G281" s="14" t="n">
        <v>4000</v>
      </c>
      <c r="H281" s="15" t="n">
        <v>16.21</v>
      </c>
      <c r="I281" s="15" t="n">
        <v>16.64</v>
      </c>
      <c r="J281" s="16" t="n">
        <f aca="false">G281*H281</f>
        <v>64840</v>
      </c>
      <c r="K281" s="16" t="n">
        <f aca="false">(H281-I281)*G281</f>
        <v>-1720</v>
      </c>
      <c r="L281" s="17" t="n">
        <f aca="false">IF(I281=0,0,H281/I281-1)</f>
        <v>-0.0258413461538461</v>
      </c>
      <c r="M281" s="14" t="n">
        <v>1</v>
      </c>
      <c r="N281" s="18" t="n">
        <v>0.017</v>
      </c>
    </row>
    <row r="282" customFormat="false" ht="15" hidden="false" customHeight="false" outlineLevel="0" collapsed="false">
      <c r="A282" s="12" t="s">
        <v>341</v>
      </c>
      <c r="B282" s="13" t="n">
        <v>45741</v>
      </c>
      <c r="C282" s="12" t="str">
        <f aca="false">TEXT(B282,"yyyy-mm")</f>
        <v>2025-03</v>
      </c>
      <c r="D282" s="12" t="s">
        <v>35</v>
      </c>
      <c r="E282" s="12" t="s">
        <v>36</v>
      </c>
      <c r="F282" s="12" t="s">
        <v>37</v>
      </c>
      <c r="G282" s="14" t="n">
        <v>2000</v>
      </c>
      <c r="H282" s="15" t="n">
        <v>15.91</v>
      </c>
      <c r="I282" s="15" t="n">
        <v>15.97</v>
      </c>
      <c r="J282" s="16" t="n">
        <f aca="false">G282*H282</f>
        <v>31820</v>
      </c>
      <c r="K282" s="16" t="n">
        <f aca="false">(H282-I282)*G282</f>
        <v>-120.000000000001</v>
      </c>
      <c r="L282" s="17" t="n">
        <f aca="false">IF(I282=0,0,H282/I282-1)</f>
        <v>-0.00375704445835945</v>
      </c>
      <c r="M282" s="14" t="n">
        <v>1</v>
      </c>
      <c r="N282" s="18" t="n">
        <v>0.023</v>
      </c>
    </row>
    <row r="283" customFormat="false" ht="15" hidden="false" customHeight="false" outlineLevel="0" collapsed="false">
      <c r="A283" s="12" t="s">
        <v>342</v>
      </c>
      <c r="B283" s="13" t="n">
        <v>45741</v>
      </c>
      <c r="C283" s="12" t="str">
        <f aca="false">TEXT(B283,"yyyy-mm")</f>
        <v>2025-03</v>
      </c>
      <c r="D283" s="12" t="s">
        <v>111</v>
      </c>
      <c r="E283" s="12" t="s">
        <v>76</v>
      </c>
      <c r="F283" s="12" t="s">
        <v>77</v>
      </c>
      <c r="G283" s="14" t="n">
        <v>1600</v>
      </c>
      <c r="H283" s="15" t="n">
        <v>18.57</v>
      </c>
      <c r="I283" s="15" t="n">
        <v>19.01</v>
      </c>
      <c r="J283" s="16" t="n">
        <f aca="false">G283*H283</f>
        <v>29712</v>
      </c>
      <c r="K283" s="16" t="n">
        <f aca="false">(H283-I283)*G283</f>
        <v>-704.000000000002</v>
      </c>
      <c r="L283" s="17" t="n">
        <f aca="false">IF(I283=0,0,H283/I283-1)</f>
        <v>-0.023145712782746</v>
      </c>
      <c r="M283" s="14" t="n">
        <v>1</v>
      </c>
      <c r="N283" s="18" t="n">
        <v>0.027</v>
      </c>
    </row>
    <row r="284" customFormat="false" ht="15" hidden="false" customHeight="false" outlineLevel="0" collapsed="false">
      <c r="A284" s="12" t="s">
        <v>343</v>
      </c>
      <c r="B284" s="13" t="n">
        <v>45742</v>
      </c>
      <c r="C284" s="12" t="str">
        <f aca="false">TEXT(B284,"yyyy-mm")</f>
        <v>2025-03</v>
      </c>
      <c r="D284" s="12" t="s">
        <v>80</v>
      </c>
      <c r="E284" s="12" t="s">
        <v>76</v>
      </c>
      <c r="F284" s="12" t="s">
        <v>77</v>
      </c>
      <c r="G284" s="14" t="n">
        <v>400</v>
      </c>
      <c r="H284" s="15" t="n">
        <v>22.99</v>
      </c>
      <c r="I284" s="15" t="n">
        <v>22.31</v>
      </c>
      <c r="J284" s="16" t="n">
        <f aca="false">G284*H284</f>
        <v>9196</v>
      </c>
      <c r="K284" s="16" t="n">
        <f aca="false">(H284-I284)*G284</f>
        <v>272</v>
      </c>
      <c r="L284" s="17" t="n">
        <f aca="false">IF(I284=0,0,H284/I284-1)</f>
        <v>0.0304796055580456</v>
      </c>
      <c r="M284" s="14" t="n">
        <v>1</v>
      </c>
      <c r="N284" s="18" t="n">
        <v>0.014</v>
      </c>
    </row>
    <row r="285" customFormat="false" ht="15" hidden="false" customHeight="false" outlineLevel="0" collapsed="false">
      <c r="A285" s="12" t="s">
        <v>344</v>
      </c>
      <c r="B285" s="13" t="n">
        <v>45743</v>
      </c>
      <c r="C285" s="12" t="str">
        <f aca="false">TEXT(B285,"yyyy-mm")</f>
        <v>2025-03</v>
      </c>
      <c r="D285" s="12" t="s">
        <v>80</v>
      </c>
      <c r="E285" s="12" t="s">
        <v>76</v>
      </c>
      <c r="F285" s="12" t="s">
        <v>77</v>
      </c>
      <c r="G285" s="14" t="n">
        <v>2000</v>
      </c>
      <c r="H285" s="15" t="n">
        <v>21.47</v>
      </c>
      <c r="I285" s="15" t="n">
        <v>21.87</v>
      </c>
      <c r="J285" s="16" t="n">
        <f aca="false">G285*H285</f>
        <v>42940</v>
      </c>
      <c r="K285" s="16" t="n">
        <f aca="false">(H285-I285)*G285</f>
        <v>-800.000000000004</v>
      </c>
      <c r="L285" s="17" t="n">
        <f aca="false">IF(I285=0,0,H285/I285-1)</f>
        <v>-0.0182898948331048</v>
      </c>
      <c r="M285" s="14" t="n">
        <v>1</v>
      </c>
      <c r="N285" s="18" t="n">
        <v>0.026</v>
      </c>
    </row>
    <row r="286" customFormat="false" ht="15" hidden="false" customHeight="false" outlineLevel="0" collapsed="false">
      <c r="A286" s="12" t="s">
        <v>345</v>
      </c>
      <c r="B286" s="13" t="n">
        <v>45744</v>
      </c>
      <c r="C286" s="12" t="str">
        <f aca="false">TEXT(B286,"yyyy-mm")</f>
        <v>2025-03</v>
      </c>
      <c r="D286" s="12" t="s">
        <v>111</v>
      </c>
      <c r="E286" s="12" t="s">
        <v>92</v>
      </c>
      <c r="F286" s="12" t="s">
        <v>93</v>
      </c>
      <c r="G286" s="14" t="n">
        <v>200</v>
      </c>
      <c r="H286" s="15" t="n">
        <v>18.41</v>
      </c>
      <c r="I286" s="15" t="n">
        <v>19.04</v>
      </c>
      <c r="J286" s="16" t="n">
        <f aca="false">G286*H286</f>
        <v>3682</v>
      </c>
      <c r="K286" s="16" t="n">
        <f aca="false">(H286-I286)*G286</f>
        <v>-126</v>
      </c>
      <c r="L286" s="17" t="n">
        <f aca="false">IF(I286=0,0,H286/I286-1)</f>
        <v>-0.0330882352941176</v>
      </c>
      <c r="M286" s="14" t="n">
        <v>0</v>
      </c>
      <c r="N286" s="18" t="n">
        <v>0.058</v>
      </c>
    </row>
    <row r="287" customFormat="false" ht="15" hidden="false" customHeight="false" outlineLevel="0" collapsed="false">
      <c r="A287" s="12" t="s">
        <v>346</v>
      </c>
      <c r="B287" s="13" t="n">
        <v>45744</v>
      </c>
      <c r="C287" s="12" t="str">
        <f aca="false">TEXT(B287,"yyyy-mm")</f>
        <v>2025-03</v>
      </c>
      <c r="D287" s="12" t="s">
        <v>80</v>
      </c>
      <c r="E287" s="12" t="s">
        <v>81</v>
      </c>
      <c r="F287" s="12" t="s">
        <v>82</v>
      </c>
      <c r="G287" s="14" t="n">
        <v>1600</v>
      </c>
      <c r="H287" s="15" t="n">
        <v>21.15</v>
      </c>
      <c r="I287" s="15" t="n">
        <v>21.87</v>
      </c>
      <c r="J287" s="16" t="n">
        <f aca="false">G287*H287</f>
        <v>33840</v>
      </c>
      <c r="K287" s="16" t="n">
        <f aca="false">(H287-I287)*G287</f>
        <v>-1152</v>
      </c>
      <c r="L287" s="17" t="n">
        <f aca="false">IF(I287=0,0,H287/I287-1)</f>
        <v>-0.0329218106995886</v>
      </c>
      <c r="M287" s="14" t="n">
        <v>1</v>
      </c>
      <c r="N287" s="18" t="n">
        <v>0.049</v>
      </c>
    </row>
    <row r="288" customFormat="false" ht="15" hidden="false" customHeight="false" outlineLevel="0" collapsed="false">
      <c r="A288" s="12" t="s">
        <v>347</v>
      </c>
      <c r="B288" s="13" t="n">
        <v>45745</v>
      </c>
      <c r="C288" s="12" t="str">
        <f aca="false">TEXT(B288,"yyyy-mm")</f>
        <v>2025-03</v>
      </c>
      <c r="D288" s="12" t="s">
        <v>111</v>
      </c>
      <c r="E288" s="12" t="s">
        <v>76</v>
      </c>
      <c r="F288" s="12" t="s">
        <v>77</v>
      </c>
      <c r="G288" s="14" t="n">
        <v>1000</v>
      </c>
      <c r="H288" s="15" t="n">
        <v>19.25</v>
      </c>
      <c r="I288" s="15" t="n">
        <v>19.12</v>
      </c>
      <c r="J288" s="16" t="n">
        <f aca="false">G288*H288</f>
        <v>19250</v>
      </c>
      <c r="K288" s="16" t="n">
        <f aca="false">(H288-I288)*G288</f>
        <v>129.999999999999</v>
      </c>
      <c r="L288" s="17" t="n">
        <f aca="false">IF(I288=0,0,H288/I288-1)</f>
        <v>0.00679916317991625</v>
      </c>
      <c r="M288" s="14" t="n">
        <v>1</v>
      </c>
      <c r="N288" s="18" t="n">
        <v>0.014</v>
      </c>
    </row>
    <row r="289" customFormat="false" ht="15" hidden="false" customHeight="false" outlineLevel="0" collapsed="false">
      <c r="A289" s="12" t="s">
        <v>348</v>
      </c>
      <c r="B289" s="13" t="n">
        <v>45745</v>
      </c>
      <c r="C289" s="12" t="str">
        <f aca="false">TEXT(B289,"yyyy-mm")</f>
        <v>2025-03</v>
      </c>
      <c r="D289" s="12" t="s">
        <v>39</v>
      </c>
      <c r="E289" s="12" t="s">
        <v>46</v>
      </c>
      <c r="F289" s="12" t="s">
        <v>47</v>
      </c>
      <c r="G289" s="14" t="n">
        <v>400</v>
      </c>
      <c r="H289" s="15" t="n">
        <v>18.85</v>
      </c>
      <c r="I289" s="15" t="n">
        <v>18.03</v>
      </c>
      <c r="J289" s="16" t="n">
        <f aca="false">G289*H289</f>
        <v>7540</v>
      </c>
      <c r="K289" s="16" t="n">
        <f aca="false">(H289-I289)*G289</f>
        <v>328</v>
      </c>
      <c r="L289" s="17" t="n">
        <f aca="false">IF(I289=0,0,H289/I289-1)</f>
        <v>0.045479755962285</v>
      </c>
      <c r="M289" s="14" t="n">
        <v>1</v>
      </c>
      <c r="N289" s="18" t="n">
        <v>0</v>
      </c>
    </row>
    <row r="290" customFormat="false" ht="15" hidden="false" customHeight="false" outlineLevel="0" collapsed="false">
      <c r="A290" s="12" t="s">
        <v>349</v>
      </c>
      <c r="B290" s="13" t="n">
        <v>45745</v>
      </c>
      <c r="C290" s="12" t="str">
        <f aca="false">TEXT(B290,"yyyy-mm")</f>
        <v>2025-03</v>
      </c>
      <c r="D290" s="12" t="s">
        <v>80</v>
      </c>
      <c r="E290" s="12" t="s">
        <v>81</v>
      </c>
      <c r="F290" s="12" t="s">
        <v>82</v>
      </c>
      <c r="G290" s="14" t="n">
        <v>1000</v>
      </c>
      <c r="H290" s="15" t="n">
        <v>22.47</v>
      </c>
      <c r="I290" s="15" t="n">
        <v>22.56</v>
      </c>
      <c r="J290" s="16" t="n">
        <f aca="false">G290*H290</f>
        <v>22470</v>
      </c>
      <c r="K290" s="16" t="n">
        <f aca="false">(H290-I290)*G290</f>
        <v>-89.9999999999999</v>
      </c>
      <c r="L290" s="17" t="n">
        <f aca="false">IF(I290=0,0,H290/I290-1)</f>
        <v>-0.0039893617021276</v>
      </c>
      <c r="M290" s="14" t="n">
        <v>0</v>
      </c>
      <c r="N290" s="18" t="n">
        <v>0.037</v>
      </c>
    </row>
    <row r="291" customFormat="false" ht="15" hidden="false" customHeight="false" outlineLevel="0" collapsed="false">
      <c r="A291" s="12" t="s">
        <v>350</v>
      </c>
      <c r="B291" s="13" t="n">
        <v>45745</v>
      </c>
      <c r="C291" s="12" t="str">
        <f aca="false">TEXT(B291,"yyyy-mm")</f>
        <v>2025-03</v>
      </c>
      <c r="D291" s="12" t="s">
        <v>61</v>
      </c>
      <c r="E291" s="12" t="s">
        <v>43</v>
      </c>
      <c r="F291" s="12" t="s">
        <v>44</v>
      </c>
      <c r="G291" s="14" t="n">
        <v>1200</v>
      </c>
      <c r="H291" s="15" t="n">
        <v>15.27</v>
      </c>
      <c r="I291" s="15" t="n">
        <v>14.26</v>
      </c>
      <c r="J291" s="16" t="n">
        <f aca="false">G291*H291</f>
        <v>18324</v>
      </c>
      <c r="K291" s="16" t="n">
        <f aca="false">(H291-I291)*G291</f>
        <v>1212</v>
      </c>
      <c r="L291" s="17" t="n">
        <f aca="false">IF(I291=0,0,H291/I291-1)</f>
        <v>0.0708274894810659</v>
      </c>
      <c r="M291" s="14" t="n">
        <v>1</v>
      </c>
      <c r="N291" s="18" t="n">
        <v>0.014</v>
      </c>
    </row>
    <row r="292" customFormat="false" ht="15" hidden="false" customHeight="false" outlineLevel="0" collapsed="false">
      <c r="A292" s="12" t="s">
        <v>351</v>
      </c>
      <c r="B292" s="13" t="n">
        <v>45746</v>
      </c>
      <c r="C292" s="12" t="str">
        <f aca="false">TEXT(B292,"yyyy-mm")</f>
        <v>2025-03</v>
      </c>
      <c r="D292" s="12" t="s">
        <v>35</v>
      </c>
      <c r="E292" s="12" t="s">
        <v>43</v>
      </c>
      <c r="F292" s="12" t="s">
        <v>44</v>
      </c>
      <c r="G292" s="14" t="n">
        <v>3200</v>
      </c>
      <c r="H292" s="15" t="n">
        <v>17.12</v>
      </c>
      <c r="I292" s="15" t="n">
        <v>16.32</v>
      </c>
      <c r="J292" s="16" t="n">
        <f aca="false">G292*H292</f>
        <v>54784</v>
      </c>
      <c r="K292" s="16" t="n">
        <f aca="false">(H292-I292)*G292</f>
        <v>2560</v>
      </c>
      <c r="L292" s="17" t="n">
        <f aca="false">IF(I292=0,0,H292/I292-1)</f>
        <v>0.0490196078431373</v>
      </c>
      <c r="M292" s="14" t="n">
        <v>1</v>
      </c>
      <c r="N292" s="18" t="n">
        <v>0.011</v>
      </c>
    </row>
    <row r="293" customFormat="false" ht="15" hidden="false" customHeight="false" outlineLevel="0" collapsed="false">
      <c r="A293" s="12" t="s">
        <v>352</v>
      </c>
      <c r="B293" s="13" t="n">
        <v>45746</v>
      </c>
      <c r="C293" s="12" t="str">
        <f aca="false">TEXT(B293,"yyyy-mm")</f>
        <v>2025-03</v>
      </c>
      <c r="D293" s="12" t="s">
        <v>80</v>
      </c>
      <c r="E293" s="12" t="s">
        <v>81</v>
      </c>
      <c r="F293" s="12" t="s">
        <v>82</v>
      </c>
      <c r="G293" s="14" t="n">
        <v>1600</v>
      </c>
      <c r="H293" s="15" t="n">
        <v>21.91</v>
      </c>
      <c r="I293" s="15" t="n">
        <v>22.08</v>
      </c>
      <c r="J293" s="16" t="n">
        <f aca="false">G293*H293</f>
        <v>35056</v>
      </c>
      <c r="K293" s="16" t="n">
        <f aca="false">(H293-I293)*G293</f>
        <v>-271.999999999997</v>
      </c>
      <c r="L293" s="17" t="n">
        <f aca="false">IF(I293=0,0,H293/I293-1)</f>
        <v>-0.00769927536231874</v>
      </c>
      <c r="M293" s="14" t="n">
        <v>1</v>
      </c>
      <c r="N293" s="18" t="n">
        <v>0.025</v>
      </c>
    </row>
    <row r="294" customFormat="false" ht="15" hidden="false" customHeight="false" outlineLevel="0" collapsed="false">
      <c r="A294" s="12" t="s">
        <v>353</v>
      </c>
      <c r="B294" s="13" t="n">
        <v>45747</v>
      </c>
      <c r="C294" s="12" t="str">
        <f aca="false">TEXT(B294,"yyyy-mm")</f>
        <v>2025-03</v>
      </c>
      <c r="D294" s="12" t="s">
        <v>39</v>
      </c>
      <c r="E294" s="12" t="s">
        <v>46</v>
      </c>
      <c r="F294" s="12" t="s">
        <v>47</v>
      </c>
      <c r="G294" s="14" t="n">
        <v>1000</v>
      </c>
      <c r="H294" s="15" t="n">
        <v>19.26</v>
      </c>
      <c r="I294" s="15" t="n">
        <v>18.18</v>
      </c>
      <c r="J294" s="16" t="n">
        <f aca="false">G294*H294</f>
        <v>19260</v>
      </c>
      <c r="K294" s="16" t="n">
        <f aca="false">(H294-I294)*G294</f>
        <v>1080</v>
      </c>
      <c r="L294" s="17" t="n">
        <f aca="false">IF(I294=0,0,H294/I294-1)</f>
        <v>0.0594059405940595</v>
      </c>
      <c r="M294" s="14" t="n">
        <v>1</v>
      </c>
      <c r="N294" s="18" t="n">
        <v>0.014</v>
      </c>
    </row>
    <row r="295" customFormat="false" ht="15" hidden="false" customHeight="false" outlineLevel="0" collapsed="false">
      <c r="A295" s="12" t="s">
        <v>354</v>
      </c>
      <c r="B295" s="13" t="n">
        <v>45747</v>
      </c>
      <c r="C295" s="12" t="str">
        <f aca="false">TEXT(B295,"yyyy-mm")</f>
        <v>2025-03</v>
      </c>
      <c r="D295" s="12" t="s">
        <v>75</v>
      </c>
      <c r="E295" s="12" t="s">
        <v>49</v>
      </c>
      <c r="F295" s="12" t="s">
        <v>50</v>
      </c>
      <c r="G295" s="14" t="n">
        <v>600</v>
      </c>
      <c r="H295" s="15" t="n">
        <v>23.66</v>
      </c>
      <c r="I295" s="15" t="n">
        <v>24.62</v>
      </c>
      <c r="J295" s="16" t="n">
        <f aca="false">G295*H295</f>
        <v>14196</v>
      </c>
      <c r="K295" s="16" t="n">
        <f aca="false">(H295-I295)*G295</f>
        <v>-576.000000000001</v>
      </c>
      <c r="L295" s="17" t="n">
        <f aca="false">IF(I295=0,0,H295/I295-1)</f>
        <v>-0.0389926888708367</v>
      </c>
      <c r="M295" s="14" t="n">
        <v>1</v>
      </c>
      <c r="N295" s="18" t="n">
        <v>0.039</v>
      </c>
    </row>
    <row r="296" customFormat="false" ht="15" hidden="false" customHeight="false" outlineLevel="0" collapsed="false">
      <c r="A296" s="12" t="s">
        <v>355</v>
      </c>
      <c r="B296" s="13" t="n">
        <v>45747</v>
      </c>
      <c r="C296" s="12" t="str">
        <f aca="false">TEXT(B296,"yyyy-mm")</f>
        <v>2025-03</v>
      </c>
      <c r="D296" s="12" t="s">
        <v>80</v>
      </c>
      <c r="E296" s="12" t="s">
        <v>81</v>
      </c>
      <c r="F296" s="12" t="s">
        <v>82</v>
      </c>
      <c r="G296" s="14" t="n">
        <v>200</v>
      </c>
      <c r="H296" s="15" t="n">
        <v>20.94</v>
      </c>
      <c r="I296" s="15" t="n">
        <v>22.15</v>
      </c>
      <c r="J296" s="16" t="n">
        <f aca="false">G296*H296</f>
        <v>4188</v>
      </c>
      <c r="K296" s="16" t="n">
        <f aca="false">(H296-I296)*G296</f>
        <v>-241.999999999999</v>
      </c>
      <c r="L296" s="17" t="n">
        <f aca="false">IF(I296=0,0,H296/I296-1)</f>
        <v>-0.0546275395033858</v>
      </c>
      <c r="M296" s="14" t="n">
        <v>1</v>
      </c>
      <c r="N296" s="18" t="n">
        <v>0.009</v>
      </c>
    </row>
    <row r="297" customFormat="false" ht="15" hidden="false" customHeight="false" outlineLevel="0" collapsed="false">
      <c r="A297" s="12" t="s">
        <v>356</v>
      </c>
      <c r="B297" s="13" t="n">
        <v>45748</v>
      </c>
      <c r="C297" s="12" t="str">
        <f aca="false">TEXT(B297,"yyyy-mm")</f>
        <v>2025-04</v>
      </c>
      <c r="D297" s="12" t="s">
        <v>35</v>
      </c>
      <c r="E297" s="12" t="s">
        <v>36</v>
      </c>
      <c r="F297" s="12" t="s">
        <v>37</v>
      </c>
      <c r="G297" s="14" t="n">
        <v>400</v>
      </c>
      <c r="H297" s="15" t="n">
        <v>17.46</v>
      </c>
      <c r="I297" s="15" t="n">
        <v>17.02</v>
      </c>
      <c r="J297" s="16" t="n">
        <f aca="false">G297*H297</f>
        <v>6984</v>
      </c>
      <c r="K297" s="16" t="n">
        <f aca="false">(H297-I297)*G297</f>
        <v>176.000000000001</v>
      </c>
      <c r="L297" s="17" t="n">
        <f aca="false">IF(I297=0,0,H297/I297-1)</f>
        <v>0.0258519388954173</v>
      </c>
      <c r="M297" s="14" t="n">
        <v>1</v>
      </c>
      <c r="N297" s="18" t="n">
        <v>0.011</v>
      </c>
    </row>
    <row r="298" customFormat="false" ht="15" hidden="false" customHeight="false" outlineLevel="0" collapsed="false">
      <c r="A298" s="12" t="s">
        <v>357</v>
      </c>
      <c r="B298" s="13" t="n">
        <v>45748</v>
      </c>
      <c r="C298" s="12" t="str">
        <f aca="false">TEXT(B298,"yyyy-mm")</f>
        <v>2025-04</v>
      </c>
      <c r="D298" s="12" t="s">
        <v>80</v>
      </c>
      <c r="E298" s="12" t="s">
        <v>81</v>
      </c>
      <c r="F298" s="12" t="s">
        <v>82</v>
      </c>
      <c r="G298" s="14" t="n">
        <v>800</v>
      </c>
      <c r="H298" s="15" t="n">
        <v>23.74</v>
      </c>
      <c r="I298" s="15" t="n">
        <v>24.31</v>
      </c>
      <c r="J298" s="16" t="n">
        <f aca="false">G298*H298</f>
        <v>18992</v>
      </c>
      <c r="K298" s="16" t="n">
        <f aca="false">(H298-I298)*G298</f>
        <v>-456</v>
      </c>
      <c r="L298" s="17" t="n">
        <f aca="false">IF(I298=0,0,H298/I298-1)</f>
        <v>-0.0234471410942</v>
      </c>
      <c r="M298" s="14" t="n">
        <v>1</v>
      </c>
      <c r="N298" s="18" t="n">
        <v>0.016</v>
      </c>
    </row>
    <row r="299" customFormat="false" ht="15" hidden="false" customHeight="false" outlineLevel="0" collapsed="false">
      <c r="A299" s="12" t="s">
        <v>358</v>
      </c>
      <c r="B299" s="13" t="n">
        <v>45749</v>
      </c>
      <c r="C299" s="12" t="str">
        <f aca="false">TEXT(B299,"yyyy-mm")</f>
        <v>2025-04</v>
      </c>
      <c r="D299" s="12" t="s">
        <v>39</v>
      </c>
      <c r="E299" s="12" t="s">
        <v>40</v>
      </c>
      <c r="F299" s="12" t="s">
        <v>41</v>
      </c>
      <c r="G299" s="14" t="n">
        <v>1600</v>
      </c>
      <c r="H299" s="15" t="n">
        <v>19.57</v>
      </c>
      <c r="I299" s="15" t="n">
        <v>19.61</v>
      </c>
      <c r="J299" s="16" t="n">
        <f aca="false">G299*H299</f>
        <v>31312</v>
      </c>
      <c r="K299" s="16" t="n">
        <f aca="false">(H299-I299)*G299</f>
        <v>-63.9999999999986</v>
      </c>
      <c r="L299" s="17" t="n">
        <f aca="false">IF(I299=0,0,H299/I299-1)</f>
        <v>-0.00203977562468127</v>
      </c>
      <c r="M299" s="14" t="n">
        <v>1</v>
      </c>
      <c r="N299" s="18" t="n">
        <v>0.027</v>
      </c>
    </row>
    <row r="300" customFormat="false" ht="15" hidden="false" customHeight="false" outlineLevel="0" collapsed="false">
      <c r="A300" s="12" t="s">
        <v>359</v>
      </c>
      <c r="B300" s="13" t="n">
        <v>45750</v>
      </c>
      <c r="C300" s="12" t="str">
        <f aca="false">TEXT(B300,"yyyy-mm")</f>
        <v>2025-04</v>
      </c>
      <c r="D300" s="12" t="s">
        <v>53</v>
      </c>
      <c r="E300" s="12" t="s">
        <v>54</v>
      </c>
      <c r="F300" s="12" t="s">
        <v>55</v>
      </c>
      <c r="G300" s="14" t="n">
        <v>600</v>
      </c>
      <c r="H300" s="15" t="n">
        <v>17.03</v>
      </c>
      <c r="I300" s="15" t="n">
        <v>16.55</v>
      </c>
      <c r="J300" s="16" t="n">
        <f aca="false">G300*H300</f>
        <v>10218</v>
      </c>
      <c r="K300" s="16" t="n">
        <f aca="false">(H300-I300)*G300</f>
        <v>288</v>
      </c>
      <c r="L300" s="17" t="n">
        <f aca="false">IF(I300=0,0,H300/I300-1)</f>
        <v>0.0290030211480363</v>
      </c>
      <c r="M300" s="14" t="n">
        <v>0</v>
      </c>
      <c r="N300" s="18" t="n">
        <v>0.009</v>
      </c>
    </row>
    <row r="301" customFormat="false" ht="15" hidden="false" customHeight="false" outlineLevel="0" collapsed="false">
      <c r="A301" s="12" t="s">
        <v>360</v>
      </c>
      <c r="B301" s="13" t="n">
        <v>45750</v>
      </c>
      <c r="C301" s="12" t="str">
        <f aca="false">TEXT(B301,"yyyy-mm")</f>
        <v>2025-04</v>
      </c>
      <c r="D301" s="12" t="s">
        <v>58</v>
      </c>
      <c r="E301" s="12" t="s">
        <v>40</v>
      </c>
      <c r="F301" s="12" t="s">
        <v>41</v>
      </c>
      <c r="G301" s="14" t="n">
        <v>1200</v>
      </c>
      <c r="H301" s="15" t="n">
        <v>33.52</v>
      </c>
      <c r="I301" s="15" t="n">
        <v>33.58</v>
      </c>
      <c r="J301" s="16" t="n">
        <f aca="false">G301*H301</f>
        <v>40224</v>
      </c>
      <c r="K301" s="16" t="n">
        <f aca="false">(H301-I301)*G301</f>
        <v>-71.9999999999942</v>
      </c>
      <c r="L301" s="17" t="n">
        <f aca="false">IF(I301=0,0,H301/I301-1)</f>
        <v>-0.00178677784395465</v>
      </c>
      <c r="M301" s="14" t="n">
        <v>1</v>
      </c>
      <c r="N301" s="18" t="n">
        <v>0.024</v>
      </c>
    </row>
    <row r="302" customFormat="false" ht="15" hidden="false" customHeight="false" outlineLevel="0" collapsed="false">
      <c r="A302" s="12" t="s">
        <v>361</v>
      </c>
      <c r="B302" s="13" t="n">
        <v>45751</v>
      </c>
      <c r="C302" s="12" t="str">
        <f aca="false">TEXT(B302,"yyyy-mm")</f>
        <v>2025-04</v>
      </c>
      <c r="D302" s="12" t="s">
        <v>53</v>
      </c>
      <c r="E302" s="12" t="s">
        <v>54</v>
      </c>
      <c r="F302" s="12" t="s">
        <v>55</v>
      </c>
      <c r="G302" s="14" t="n">
        <v>800</v>
      </c>
      <c r="H302" s="15" t="n">
        <v>16.28</v>
      </c>
      <c r="I302" s="15" t="n">
        <v>16.14</v>
      </c>
      <c r="J302" s="16" t="n">
        <f aca="false">G302*H302</f>
        <v>13024</v>
      </c>
      <c r="K302" s="16" t="n">
        <f aca="false">(H302-I302)*G302</f>
        <v>112</v>
      </c>
      <c r="L302" s="17" t="n">
        <f aca="false">IF(I302=0,0,H302/I302-1)</f>
        <v>0.00867410161090465</v>
      </c>
      <c r="M302" s="14" t="n">
        <v>1</v>
      </c>
      <c r="N302" s="18" t="n">
        <v>0.023</v>
      </c>
    </row>
    <row r="303" customFormat="false" ht="15" hidden="false" customHeight="false" outlineLevel="0" collapsed="false">
      <c r="A303" s="12" t="s">
        <v>362</v>
      </c>
      <c r="B303" s="13" t="n">
        <v>45751</v>
      </c>
      <c r="C303" s="12" t="str">
        <f aca="false">TEXT(B303,"yyyy-mm")</f>
        <v>2025-04</v>
      </c>
      <c r="D303" s="12" t="s">
        <v>58</v>
      </c>
      <c r="E303" s="12" t="s">
        <v>59</v>
      </c>
      <c r="F303" s="12" t="s">
        <v>55</v>
      </c>
      <c r="G303" s="14" t="n">
        <v>1000</v>
      </c>
      <c r="H303" s="15" t="n">
        <v>35.38</v>
      </c>
      <c r="I303" s="15" t="n">
        <v>34.07</v>
      </c>
      <c r="J303" s="16" t="n">
        <f aca="false">G303*H303</f>
        <v>35380</v>
      </c>
      <c r="K303" s="16" t="n">
        <f aca="false">(H303-I303)*G303</f>
        <v>1310</v>
      </c>
      <c r="L303" s="17" t="n">
        <f aca="false">IF(I303=0,0,H303/I303-1)</f>
        <v>0.0384502494863517</v>
      </c>
      <c r="M303" s="14" t="n">
        <v>1</v>
      </c>
      <c r="N303" s="18" t="n">
        <v>0.02</v>
      </c>
    </row>
    <row r="304" customFormat="false" ht="15" hidden="false" customHeight="false" outlineLevel="0" collapsed="false">
      <c r="A304" s="12" t="s">
        <v>363</v>
      </c>
      <c r="B304" s="13" t="n">
        <v>45752</v>
      </c>
      <c r="C304" s="12" t="str">
        <f aca="false">TEXT(B304,"yyyy-mm")</f>
        <v>2025-04</v>
      </c>
      <c r="D304" s="12" t="s">
        <v>53</v>
      </c>
      <c r="E304" s="12" t="s">
        <v>54</v>
      </c>
      <c r="F304" s="12" t="s">
        <v>55</v>
      </c>
      <c r="G304" s="14" t="n">
        <v>1600</v>
      </c>
      <c r="H304" s="15" t="n">
        <v>17.15</v>
      </c>
      <c r="I304" s="15" t="n">
        <v>16.38</v>
      </c>
      <c r="J304" s="16" t="n">
        <f aca="false">G304*H304</f>
        <v>27440</v>
      </c>
      <c r="K304" s="16" t="n">
        <f aca="false">(H304-I304)*G304</f>
        <v>1232</v>
      </c>
      <c r="L304" s="17" t="n">
        <f aca="false">IF(I304=0,0,H304/I304-1)</f>
        <v>0.0470085470085471</v>
      </c>
      <c r="M304" s="14" t="n">
        <v>1</v>
      </c>
      <c r="N304" s="18" t="n">
        <v>0.023</v>
      </c>
    </row>
    <row r="305" customFormat="false" ht="15" hidden="false" customHeight="false" outlineLevel="0" collapsed="false">
      <c r="A305" s="12" t="s">
        <v>364</v>
      </c>
      <c r="B305" s="13" t="n">
        <v>45752</v>
      </c>
      <c r="C305" s="12" t="str">
        <f aca="false">TEXT(B305,"yyyy-mm")</f>
        <v>2025-04</v>
      </c>
      <c r="D305" s="12" t="s">
        <v>53</v>
      </c>
      <c r="E305" s="12" t="s">
        <v>49</v>
      </c>
      <c r="F305" s="12" t="s">
        <v>50</v>
      </c>
      <c r="G305" s="14" t="n">
        <v>1200</v>
      </c>
      <c r="H305" s="15" t="n">
        <v>16.47</v>
      </c>
      <c r="I305" s="15" t="n">
        <v>16.36</v>
      </c>
      <c r="J305" s="16" t="n">
        <f aca="false">G305*H305</f>
        <v>19764</v>
      </c>
      <c r="K305" s="16" t="n">
        <f aca="false">(H305-I305)*G305</f>
        <v>131.999999999999</v>
      </c>
      <c r="L305" s="17" t="n">
        <f aca="false">IF(I305=0,0,H305/I305-1)</f>
        <v>0.006723716381418</v>
      </c>
      <c r="M305" s="14" t="n">
        <v>0</v>
      </c>
      <c r="N305" s="18" t="n">
        <v>0.02</v>
      </c>
    </row>
    <row r="306" customFormat="false" ht="15" hidden="false" customHeight="false" outlineLevel="0" collapsed="false">
      <c r="A306" s="12" t="s">
        <v>365</v>
      </c>
      <c r="B306" s="13" t="n">
        <v>45752</v>
      </c>
      <c r="C306" s="12" t="str">
        <f aca="false">TEXT(B306,"yyyy-mm")</f>
        <v>2025-04</v>
      </c>
      <c r="D306" s="12" t="s">
        <v>35</v>
      </c>
      <c r="E306" s="12" t="s">
        <v>36</v>
      </c>
      <c r="F306" s="12" t="s">
        <v>37</v>
      </c>
      <c r="G306" s="14" t="n">
        <v>3200</v>
      </c>
      <c r="H306" s="15" t="n">
        <v>16.68</v>
      </c>
      <c r="I306" s="15" t="n">
        <v>16.59</v>
      </c>
      <c r="J306" s="16" t="n">
        <f aca="false">G306*H306</f>
        <v>53376</v>
      </c>
      <c r="K306" s="16" t="n">
        <f aca="false">(H306-I306)*G306</f>
        <v>288</v>
      </c>
      <c r="L306" s="17" t="n">
        <f aca="false">IF(I306=0,0,H306/I306-1)</f>
        <v>0.0054249547920433</v>
      </c>
      <c r="M306" s="14" t="n">
        <v>1</v>
      </c>
      <c r="N306" s="18" t="n">
        <v>0.017</v>
      </c>
    </row>
    <row r="307" customFormat="false" ht="15" hidden="false" customHeight="false" outlineLevel="0" collapsed="false">
      <c r="A307" s="12" t="s">
        <v>366</v>
      </c>
      <c r="B307" s="13" t="n">
        <v>45752</v>
      </c>
      <c r="C307" s="12" t="str">
        <f aca="false">TEXT(B307,"yyyy-mm")</f>
        <v>2025-04</v>
      </c>
      <c r="D307" s="12" t="s">
        <v>75</v>
      </c>
      <c r="E307" s="12" t="s">
        <v>40</v>
      </c>
      <c r="F307" s="12" t="s">
        <v>41</v>
      </c>
      <c r="G307" s="14" t="n">
        <v>600</v>
      </c>
      <c r="H307" s="15" t="n">
        <v>26.94</v>
      </c>
      <c r="I307" s="15" t="n">
        <v>26.21</v>
      </c>
      <c r="J307" s="16" t="n">
        <f aca="false">G307*H307</f>
        <v>16164</v>
      </c>
      <c r="K307" s="16" t="n">
        <f aca="false">(H307-I307)*G307</f>
        <v>438</v>
      </c>
      <c r="L307" s="17" t="n">
        <f aca="false">IF(I307=0,0,H307/I307-1)</f>
        <v>0.0278519648988935</v>
      </c>
      <c r="M307" s="14" t="n">
        <v>1</v>
      </c>
      <c r="N307" s="18" t="n">
        <v>0.021</v>
      </c>
    </row>
    <row r="308" customFormat="false" ht="15" hidden="false" customHeight="false" outlineLevel="0" collapsed="false">
      <c r="A308" s="12" t="s">
        <v>367</v>
      </c>
      <c r="B308" s="13" t="n">
        <v>45753</v>
      </c>
      <c r="C308" s="12" t="str">
        <f aca="false">TEXT(B308,"yyyy-mm")</f>
        <v>2025-04</v>
      </c>
      <c r="D308" s="12" t="s">
        <v>75</v>
      </c>
      <c r="E308" s="12" t="s">
        <v>76</v>
      </c>
      <c r="F308" s="12" t="s">
        <v>77</v>
      </c>
      <c r="G308" s="14" t="n">
        <v>600</v>
      </c>
      <c r="H308" s="15" t="n">
        <v>26.8</v>
      </c>
      <c r="I308" s="15" t="n">
        <v>26.95</v>
      </c>
      <c r="J308" s="16" t="n">
        <f aca="false">G308*H308</f>
        <v>16080</v>
      </c>
      <c r="K308" s="16" t="n">
        <f aca="false">(H308-I308)*G308</f>
        <v>-89.9999999999992</v>
      </c>
      <c r="L308" s="17" t="n">
        <f aca="false">IF(I308=0,0,H308/I308-1)</f>
        <v>-0.00556586270871984</v>
      </c>
      <c r="M308" s="14" t="n">
        <v>1</v>
      </c>
      <c r="N308" s="18" t="n">
        <v>0.029</v>
      </c>
    </row>
    <row r="309" customFormat="false" ht="15" hidden="false" customHeight="false" outlineLevel="0" collapsed="false">
      <c r="A309" s="12" t="s">
        <v>368</v>
      </c>
      <c r="B309" s="13" t="n">
        <v>45753</v>
      </c>
      <c r="C309" s="12" t="str">
        <f aca="false">TEXT(B309,"yyyy-mm")</f>
        <v>2025-04</v>
      </c>
      <c r="D309" s="12" t="s">
        <v>58</v>
      </c>
      <c r="E309" s="12" t="s">
        <v>59</v>
      </c>
      <c r="F309" s="12" t="s">
        <v>55</v>
      </c>
      <c r="G309" s="14" t="n">
        <v>1200</v>
      </c>
      <c r="H309" s="15" t="n">
        <v>35.73</v>
      </c>
      <c r="I309" s="15" t="n">
        <v>33.47</v>
      </c>
      <c r="J309" s="16" t="n">
        <f aca="false">G309*H309</f>
        <v>42876</v>
      </c>
      <c r="K309" s="16" t="n">
        <f aca="false">(H309-I309)*G309</f>
        <v>2712</v>
      </c>
      <c r="L309" s="17" t="n">
        <f aca="false">IF(I309=0,0,H309/I309-1)</f>
        <v>0.0675231550642366</v>
      </c>
      <c r="M309" s="14" t="n">
        <v>1</v>
      </c>
      <c r="N309" s="18" t="n">
        <v>0.016</v>
      </c>
    </row>
    <row r="310" customFormat="false" ht="15" hidden="false" customHeight="false" outlineLevel="0" collapsed="false">
      <c r="A310" s="12" t="s">
        <v>369</v>
      </c>
      <c r="B310" s="13" t="n">
        <v>45753</v>
      </c>
      <c r="C310" s="12" t="str">
        <f aca="false">TEXT(B310,"yyyy-mm")</f>
        <v>2025-04</v>
      </c>
      <c r="D310" s="12" t="s">
        <v>39</v>
      </c>
      <c r="E310" s="12" t="s">
        <v>46</v>
      </c>
      <c r="F310" s="12" t="s">
        <v>47</v>
      </c>
      <c r="G310" s="14" t="n">
        <v>2000</v>
      </c>
      <c r="H310" s="15" t="n">
        <v>19.63</v>
      </c>
      <c r="I310" s="15" t="n">
        <v>19.24</v>
      </c>
      <c r="J310" s="16" t="n">
        <f aca="false">G310*H310</f>
        <v>39260</v>
      </c>
      <c r="K310" s="16" t="n">
        <f aca="false">(H310-I310)*G310</f>
        <v>780.000000000001</v>
      </c>
      <c r="L310" s="17" t="n">
        <f aca="false">IF(I310=0,0,H310/I310-1)</f>
        <v>0.0202702702702704</v>
      </c>
      <c r="M310" s="14" t="n">
        <v>1</v>
      </c>
      <c r="N310" s="18" t="n">
        <v>0.012</v>
      </c>
    </row>
    <row r="311" customFormat="false" ht="15" hidden="false" customHeight="false" outlineLevel="0" collapsed="false">
      <c r="A311" s="12" t="s">
        <v>370</v>
      </c>
      <c r="B311" s="13" t="n">
        <v>45753</v>
      </c>
      <c r="C311" s="12" t="str">
        <f aca="false">TEXT(B311,"yyyy-mm")</f>
        <v>2025-04</v>
      </c>
      <c r="D311" s="12" t="s">
        <v>61</v>
      </c>
      <c r="E311" s="12" t="s">
        <v>43</v>
      </c>
      <c r="F311" s="12" t="s">
        <v>44</v>
      </c>
      <c r="G311" s="14" t="n">
        <v>800</v>
      </c>
      <c r="H311" s="15" t="n">
        <v>14.48</v>
      </c>
      <c r="I311" s="15" t="n">
        <v>14.23</v>
      </c>
      <c r="J311" s="16" t="n">
        <f aca="false">G311*H311</f>
        <v>11584</v>
      </c>
      <c r="K311" s="16" t="n">
        <f aca="false">(H311-I311)*G311</f>
        <v>200</v>
      </c>
      <c r="L311" s="17" t="n">
        <f aca="false">IF(I311=0,0,H311/I311-1)</f>
        <v>0.0175685172171469</v>
      </c>
      <c r="M311" s="14" t="n">
        <v>1</v>
      </c>
      <c r="N311" s="18" t="n">
        <v>0.015</v>
      </c>
    </row>
    <row r="312" customFormat="false" ht="15" hidden="false" customHeight="false" outlineLevel="0" collapsed="false">
      <c r="A312" s="12" t="s">
        <v>371</v>
      </c>
      <c r="B312" s="13" t="n">
        <v>45754</v>
      </c>
      <c r="C312" s="12" t="str">
        <f aca="false">TEXT(B312,"yyyy-mm")</f>
        <v>2025-04</v>
      </c>
      <c r="D312" s="12" t="s">
        <v>39</v>
      </c>
      <c r="E312" s="12" t="s">
        <v>46</v>
      </c>
      <c r="F312" s="12" t="s">
        <v>47</v>
      </c>
      <c r="G312" s="14" t="n">
        <v>200</v>
      </c>
      <c r="H312" s="15" t="n">
        <v>20.13</v>
      </c>
      <c r="I312" s="15" t="n">
        <v>18.89</v>
      </c>
      <c r="J312" s="16" t="n">
        <f aca="false">G312*H312</f>
        <v>4026</v>
      </c>
      <c r="K312" s="16" t="n">
        <f aca="false">(H312-I312)*G312</f>
        <v>248</v>
      </c>
      <c r="L312" s="17" t="n">
        <f aca="false">IF(I312=0,0,H312/I312-1)</f>
        <v>0.0656431974589729</v>
      </c>
      <c r="M312" s="14" t="n">
        <v>1</v>
      </c>
      <c r="N312" s="18" t="n">
        <v>0.006</v>
      </c>
    </row>
    <row r="313" customFormat="false" ht="15" hidden="false" customHeight="false" outlineLevel="0" collapsed="false">
      <c r="A313" s="12" t="s">
        <v>372</v>
      </c>
      <c r="B313" s="13" t="n">
        <v>45754</v>
      </c>
      <c r="C313" s="12" t="str">
        <f aca="false">TEXT(B313,"yyyy-mm")</f>
        <v>2025-04</v>
      </c>
      <c r="D313" s="12" t="s">
        <v>75</v>
      </c>
      <c r="E313" s="12" t="s">
        <v>49</v>
      </c>
      <c r="F313" s="12" t="s">
        <v>50</v>
      </c>
      <c r="G313" s="14" t="n">
        <v>400</v>
      </c>
      <c r="H313" s="15" t="n">
        <v>25.12</v>
      </c>
      <c r="I313" s="15" t="n">
        <v>25.79</v>
      </c>
      <c r="J313" s="16" t="n">
        <f aca="false">G313*H313</f>
        <v>10048</v>
      </c>
      <c r="K313" s="16" t="n">
        <f aca="false">(H313-I313)*G313</f>
        <v>-267.999999999999</v>
      </c>
      <c r="L313" s="17" t="n">
        <f aca="false">IF(I313=0,0,H313/I313-1)</f>
        <v>-0.025979061651803</v>
      </c>
      <c r="M313" s="14" t="n">
        <v>1</v>
      </c>
      <c r="N313" s="18" t="n">
        <v>0.055</v>
      </c>
    </row>
    <row r="314" customFormat="false" ht="15" hidden="false" customHeight="false" outlineLevel="0" collapsed="false">
      <c r="A314" s="12" t="s">
        <v>373</v>
      </c>
      <c r="B314" s="13" t="n">
        <v>45754</v>
      </c>
      <c r="C314" s="12" t="str">
        <f aca="false">TEXT(B314,"yyyy-mm")</f>
        <v>2025-04</v>
      </c>
      <c r="D314" s="12" t="s">
        <v>80</v>
      </c>
      <c r="E314" s="12" t="s">
        <v>81</v>
      </c>
      <c r="F314" s="12" t="s">
        <v>82</v>
      </c>
      <c r="G314" s="14" t="n">
        <v>1200</v>
      </c>
      <c r="H314" s="15" t="n">
        <v>22.35</v>
      </c>
      <c r="I314" s="15" t="n">
        <v>23.62</v>
      </c>
      <c r="J314" s="16" t="n">
        <f aca="false">G314*H314</f>
        <v>26820</v>
      </c>
      <c r="K314" s="16" t="n">
        <f aca="false">(H314-I314)*G314</f>
        <v>-1524</v>
      </c>
      <c r="L314" s="17" t="n">
        <f aca="false">IF(I314=0,0,H314/I314-1)</f>
        <v>-0.0537679932260796</v>
      </c>
      <c r="M314" s="14" t="n">
        <v>1</v>
      </c>
      <c r="N314" s="18" t="n">
        <v>0.029</v>
      </c>
    </row>
    <row r="315" customFormat="false" ht="15" hidden="false" customHeight="false" outlineLevel="0" collapsed="false">
      <c r="A315" s="12" t="s">
        <v>374</v>
      </c>
      <c r="B315" s="13" t="n">
        <v>45754</v>
      </c>
      <c r="C315" s="12" t="str">
        <f aca="false">TEXT(B315,"yyyy-mm")</f>
        <v>2025-04</v>
      </c>
      <c r="D315" s="12" t="s">
        <v>39</v>
      </c>
      <c r="E315" s="12" t="s">
        <v>46</v>
      </c>
      <c r="F315" s="12" t="s">
        <v>47</v>
      </c>
      <c r="G315" s="14" t="n">
        <v>400</v>
      </c>
      <c r="H315" s="15" t="n">
        <v>21.44</v>
      </c>
      <c r="I315" s="15" t="n">
        <v>19.7</v>
      </c>
      <c r="J315" s="16" t="n">
        <f aca="false">G315*H315</f>
        <v>8576</v>
      </c>
      <c r="K315" s="16" t="n">
        <f aca="false">(H315-I315)*G315</f>
        <v>696.000000000001</v>
      </c>
      <c r="L315" s="17" t="n">
        <f aca="false">IF(I315=0,0,H315/I315-1)</f>
        <v>0.0883248730964468</v>
      </c>
      <c r="M315" s="14" t="n">
        <v>1</v>
      </c>
      <c r="N315" s="18" t="n">
        <v>0.003</v>
      </c>
    </row>
    <row r="316" customFormat="false" ht="15" hidden="false" customHeight="false" outlineLevel="0" collapsed="false">
      <c r="A316" s="12" t="s">
        <v>375</v>
      </c>
      <c r="B316" s="13" t="n">
        <v>45755</v>
      </c>
      <c r="C316" s="12" t="str">
        <f aca="false">TEXT(B316,"yyyy-mm")</f>
        <v>2025-04</v>
      </c>
      <c r="D316" s="12" t="s">
        <v>75</v>
      </c>
      <c r="E316" s="12" t="s">
        <v>49</v>
      </c>
      <c r="F316" s="12" t="s">
        <v>50</v>
      </c>
      <c r="G316" s="14" t="n">
        <v>1600</v>
      </c>
      <c r="H316" s="15" t="n">
        <v>27.06</v>
      </c>
      <c r="I316" s="15" t="n">
        <v>26.94</v>
      </c>
      <c r="J316" s="16" t="n">
        <f aca="false">G316*H316</f>
        <v>43296</v>
      </c>
      <c r="K316" s="16" t="n">
        <f aca="false">(H316-I316)*G316</f>
        <v>191.999999999996</v>
      </c>
      <c r="L316" s="17" t="n">
        <f aca="false">IF(I316=0,0,H316/I316-1)</f>
        <v>0.00445434298440972</v>
      </c>
      <c r="M316" s="14" t="n">
        <v>1</v>
      </c>
      <c r="N316" s="18" t="n">
        <v>0.018</v>
      </c>
    </row>
    <row r="317" customFormat="false" ht="15" hidden="false" customHeight="false" outlineLevel="0" collapsed="false">
      <c r="A317" s="12" t="s">
        <v>376</v>
      </c>
      <c r="B317" s="13" t="n">
        <v>45755</v>
      </c>
      <c r="C317" s="12" t="str">
        <f aca="false">TEXT(B317,"yyyy-mm")</f>
        <v>2025-04</v>
      </c>
      <c r="D317" s="12" t="s">
        <v>53</v>
      </c>
      <c r="E317" s="12" t="s">
        <v>54</v>
      </c>
      <c r="F317" s="12" t="s">
        <v>55</v>
      </c>
      <c r="G317" s="14" t="n">
        <v>200</v>
      </c>
      <c r="H317" s="15" t="n">
        <v>16.98</v>
      </c>
      <c r="I317" s="15" t="n">
        <v>16.11</v>
      </c>
      <c r="J317" s="16" t="n">
        <f aca="false">G317*H317</f>
        <v>3396</v>
      </c>
      <c r="K317" s="16" t="n">
        <f aca="false">(H317-I317)*G317</f>
        <v>174</v>
      </c>
      <c r="L317" s="17" t="n">
        <f aca="false">IF(I317=0,0,H317/I317-1)</f>
        <v>0.054003724394786</v>
      </c>
      <c r="M317" s="14" t="n">
        <v>1</v>
      </c>
      <c r="N317" s="18" t="n">
        <v>0.015</v>
      </c>
    </row>
    <row r="318" customFormat="false" ht="15" hidden="false" customHeight="false" outlineLevel="0" collapsed="false">
      <c r="A318" s="12" t="s">
        <v>377</v>
      </c>
      <c r="B318" s="13" t="n">
        <v>45756</v>
      </c>
      <c r="C318" s="12" t="str">
        <f aca="false">TEXT(B318,"yyyy-mm")</f>
        <v>2025-04</v>
      </c>
      <c r="D318" s="12" t="s">
        <v>111</v>
      </c>
      <c r="E318" s="12" t="s">
        <v>76</v>
      </c>
      <c r="F318" s="12" t="s">
        <v>77</v>
      </c>
      <c r="G318" s="14" t="n">
        <v>400</v>
      </c>
      <c r="H318" s="15" t="n">
        <v>19.5</v>
      </c>
      <c r="I318" s="15" t="n">
        <v>19.99</v>
      </c>
      <c r="J318" s="16" t="n">
        <f aca="false">G318*H318</f>
        <v>7800</v>
      </c>
      <c r="K318" s="16" t="n">
        <f aca="false">(H318-I318)*G318</f>
        <v>-195.999999999999</v>
      </c>
      <c r="L318" s="17" t="n">
        <f aca="false">IF(I318=0,0,H318/I318-1)</f>
        <v>-0.024512256128064</v>
      </c>
      <c r="M318" s="14" t="n">
        <v>1</v>
      </c>
      <c r="N318" s="18" t="n">
        <v>0.025</v>
      </c>
    </row>
    <row r="319" customFormat="false" ht="15" hidden="false" customHeight="false" outlineLevel="0" collapsed="false">
      <c r="A319" s="12" t="s">
        <v>378</v>
      </c>
      <c r="B319" s="13" t="n">
        <v>45756</v>
      </c>
      <c r="C319" s="12" t="str">
        <f aca="false">TEXT(B319,"yyyy-mm")</f>
        <v>2025-04</v>
      </c>
      <c r="D319" s="12" t="s">
        <v>53</v>
      </c>
      <c r="E319" s="12" t="s">
        <v>49</v>
      </c>
      <c r="F319" s="12" t="s">
        <v>50</v>
      </c>
      <c r="G319" s="14" t="n">
        <v>800</v>
      </c>
      <c r="H319" s="15" t="n">
        <v>15.7</v>
      </c>
      <c r="I319" s="15" t="n">
        <v>16.15</v>
      </c>
      <c r="J319" s="16" t="n">
        <f aca="false">G319*H319</f>
        <v>12560</v>
      </c>
      <c r="K319" s="16" t="n">
        <f aca="false">(H319-I319)*G319</f>
        <v>-359.999999999999</v>
      </c>
      <c r="L319" s="17" t="n">
        <f aca="false">IF(I319=0,0,H319/I319-1)</f>
        <v>-0.0278637770897833</v>
      </c>
      <c r="M319" s="14" t="n">
        <v>1</v>
      </c>
      <c r="N319" s="18" t="n">
        <v>0.023</v>
      </c>
    </row>
    <row r="320" customFormat="false" ht="15" hidden="false" customHeight="false" outlineLevel="0" collapsed="false">
      <c r="A320" s="12" t="s">
        <v>379</v>
      </c>
      <c r="B320" s="13" t="n">
        <v>45756</v>
      </c>
      <c r="C320" s="12" t="str">
        <f aca="false">TEXT(B320,"yyyy-mm")</f>
        <v>2025-04</v>
      </c>
      <c r="D320" s="12" t="s">
        <v>80</v>
      </c>
      <c r="E320" s="12" t="s">
        <v>81</v>
      </c>
      <c r="F320" s="12" t="s">
        <v>82</v>
      </c>
      <c r="G320" s="14" t="n">
        <v>1200</v>
      </c>
      <c r="H320" s="15" t="n">
        <v>23.45</v>
      </c>
      <c r="I320" s="15" t="n">
        <v>23.27</v>
      </c>
      <c r="J320" s="16" t="n">
        <f aca="false">G320*H320</f>
        <v>28140</v>
      </c>
      <c r="K320" s="16" t="n">
        <f aca="false">(H320-I320)*G320</f>
        <v>216</v>
      </c>
      <c r="L320" s="17" t="n">
        <f aca="false">IF(I320=0,0,H320/I320-1)</f>
        <v>0.00773528147829827</v>
      </c>
      <c r="M320" s="14" t="n">
        <v>1</v>
      </c>
      <c r="N320" s="18" t="n">
        <v>0.044</v>
      </c>
    </row>
    <row r="321" customFormat="false" ht="15" hidden="false" customHeight="false" outlineLevel="0" collapsed="false">
      <c r="A321" s="12" t="s">
        <v>380</v>
      </c>
      <c r="B321" s="13" t="n">
        <v>45758</v>
      </c>
      <c r="C321" s="12" t="str">
        <f aca="false">TEXT(B321,"yyyy-mm")</f>
        <v>2025-04</v>
      </c>
      <c r="D321" s="12" t="s">
        <v>61</v>
      </c>
      <c r="E321" s="12" t="s">
        <v>43</v>
      </c>
      <c r="F321" s="12" t="s">
        <v>44</v>
      </c>
      <c r="G321" s="14" t="n">
        <v>800</v>
      </c>
      <c r="H321" s="15" t="n">
        <v>15.45</v>
      </c>
      <c r="I321" s="15" t="n">
        <v>14.5</v>
      </c>
      <c r="J321" s="16" t="n">
        <f aca="false">G321*H321</f>
        <v>12360</v>
      </c>
      <c r="K321" s="16" t="n">
        <f aca="false">(H321-I321)*G321</f>
        <v>759.999999999999</v>
      </c>
      <c r="L321" s="17" t="n">
        <f aca="false">IF(I321=0,0,H321/I321-1)</f>
        <v>0.0655172413793104</v>
      </c>
      <c r="M321" s="14" t="n">
        <v>0</v>
      </c>
      <c r="N321" s="18" t="n">
        <v>0.009</v>
      </c>
    </row>
    <row r="322" customFormat="false" ht="15" hidden="false" customHeight="false" outlineLevel="0" collapsed="false">
      <c r="A322" s="12" t="s">
        <v>381</v>
      </c>
      <c r="B322" s="13" t="n">
        <v>45758</v>
      </c>
      <c r="C322" s="12" t="str">
        <f aca="false">TEXT(B322,"yyyy-mm")</f>
        <v>2025-04</v>
      </c>
      <c r="D322" s="12" t="s">
        <v>35</v>
      </c>
      <c r="E322" s="12" t="s">
        <v>43</v>
      </c>
      <c r="F322" s="12" t="s">
        <v>44</v>
      </c>
      <c r="G322" s="14" t="n">
        <v>2000</v>
      </c>
      <c r="H322" s="15" t="n">
        <v>17.66</v>
      </c>
      <c r="I322" s="15" t="n">
        <v>16.5</v>
      </c>
      <c r="J322" s="16" t="n">
        <f aca="false">G322*H322</f>
        <v>35320</v>
      </c>
      <c r="K322" s="16" t="n">
        <f aca="false">(H322-I322)*G322</f>
        <v>2320</v>
      </c>
      <c r="L322" s="17" t="n">
        <f aca="false">IF(I322=0,0,H322/I322-1)</f>
        <v>0.0703030303030303</v>
      </c>
      <c r="M322" s="14" t="n">
        <v>1</v>
      </c>
      <c r="N322" s="18" t="n">
        <v>0.011</v>
      </c>
    </row>
    <row r="323" customFormat="false" ht="15" hidden="false" customHeight="false" outlineLevel="0" collapsed="false">
      <c r="A323" s="12" t="s">
        <v>382</v>
      </c>
      <c r="B323" s="13" t="n">
        <v>45758</v>
      </c>
      <c r="C323" s="12" t="str">
        <f aca="false">TEXT(B323,"yyyy-mm")</f>
        <v>2025-04</v>
      </c>
      <c r="D323" s="12" t="s">
        <v>75</v>
      </c>
      <c r="E323" s="12" t="s">
        <v>49</v>
      </c>
      <c r="F323" s="12" t="s">
        <v>50</v>
      </c>
      <c r="G323" s="14" t="n">
        <v>600</v>
      </c>
      <c r="H323" s="15" t="n">
        <v>25.72</v>
      </c>
      <c r="I323" s="15" t="n">
        <v>26.14</v>
      </c>
      <c r="J323" s="16" t="n">
        <f aca="false">G323*H323</f>
        <v>15432</v>
      </c>
      <c r="K323" s="16" t="n">
        <f aca="false">(H323-I323)*G323</f>
        <v>-252.000000000001</v>
      </c>
      <c r="L323" s="17" t="n">
        <f aca="false">IF(I323=0,0,H323/I323-1)</f>
        <v>-0.0160673297628157</v>
      </c>
      <c r="M323" s="14" t="n">
        <v>1</v>
      </c>
      <c r="N323" s="18" t="n">
        <v>0.039</v>
      </c>
    </row>
    <row r="324" customFormat="false" ht="15" hidden="false" customHeight="false" outlineLevel="0" collapsed="false">
      <c r="A324" s="12" t="s">
        <v>383</v>
      </c>
      <c r="B324" s="13" t="n">
        <v>45758</v>
      </c>
      <c r="C324" s="12" t="str">
        <f aca="false">TEXT(B324,"yyyy-mm")</f>
        <v>2025-04</v>
      </c>
      <c r="D324" s="12" t="s">
        <v>80</v>
      </c>
      <c r="E324" s="12" t="s">
        <v>92</v>
      </c>
      <c r="F324" s="12" t="s">
        <v>93</v>
      </c>
      <c r="G324" s="14" t="n">
        <v>2000</v>
      </c>
      <c r="H324" s="15" t="n">
        <v>22.19</v>
      </c>
      <c r="I324" s="15" t="n">
        <v>23.92</v>
      </c>
      <c r="J324" s="16" t="n">
        <f aca="false">G324*H324</f>
        <v>44380</v>
      </c>
      <c r="K324" s="16" t="n">
        <f aca="false">(H324-I324)*G324</f>
        <v>-3460</v>
      </c>
      <c r="L324" s="17" t="n">
        <f aca="false">IF(I324=0,0,H324/I324-1)</f>
        <v>-0.072324414715719</v>
      </c>
      <c r="M324" s="14" t="n">
        <v>1</v>
      </c>
      <c r="N324" s="18" t="n">
        <v>0.041</v>
      </c>
    </row>
    <row r="325" customFormat="false" ht="15" hidden="false" customHeight="false" outlineLevel="0" collapsed="false">
      <c r="A325" s="12" t="s">
        <v>384</v>
      </c>
      <c r="B325" s="13" t="n">
        <v>45759</v>
      </c>
      <c r="C325" s="12" t="str">
        <f aca="false">TEXT(B325,"yyyy-mm")</f>
        <v>2025-04</v>
      </c>
      <c r="D325" s="12" t="s">
        <v>61</v>
      </c>
      <c r="E325" s="12" t="s">
        <v>36</v>
      </c>
      <c r="F325" s="12" t="s">
        <v>37</v>
      </c>
      <c r="G325" s="14" t="n">
        <v>800</v>
      </c>
      <c r="H325" s="15" t="n">
        <v>14.17</v>
      </c>
      <c r="I325" s="15" t="n">
        <v>14.56</v>
      </c>
      <c r="J325" s="16" t="n">
        <f aca="false">G325*H325</f>
        <v>11336</v>
      </c>
      <c r="K325" s="16" t="n">
        <f aca="false">(H325-I325)*G325</f>
        <v>-312</v>
      </c>
      <c r="L325" s="17" t="n">
        <f aca="false">IF(I325=0,0,H325/I325-1)</f>
        <v>-0.0267857142857143</v>
      </c>
      <c r="M325" s="14" t="n">
        <v>1</v>
      </c>
      <c r="N325" s="18" t="n">
        <v>0.016</v>
      </c>
    </row>
    <row r="326" customFormat="false" ht="15" hidden="false" customHeight="false" outlineLevel="0" collapsed="false">
      <c r="A326" s="12" t="s">
        <v>385</v>
      </c>
      <c r="B326" s="13" t="n">
        <v>45759</v>
      </c>
      <c r="C326" s="12" t="str">
        <f aca="false">TEXT(B326,"yyyy-mm")</f>
        <v>2025-04</v>
      </c>
      <c r="D326" s="12" t="s">
        <v>39</v>
      </c>
      <c r="E326" s="12" t="s">
        <v>46</v>
      </c>
      <c r="F326" s="12" t="s">
        <v>47</v>
      </c>
      <c r="G326" s="14" t="n">
        <v>400</v>
      </c>
      <c r="H326" s="15" t="n">
        <v>19.8</v>
      </c>
      <c r="I326" s="15" t="n">
        <v>19.15</v>
      </c>
      <c r="J326" s="16" t="n">
        <f aca="false">G326*H326</f>
        <v>7920</v>
      </c>
      <c r="K326" s="16" t="n">
        <f aca="false">(H326-I326)*G326</f>
        <v>260.000000000001</v>
      </c>
      <c r="L326" s="17" t="n">
        <f aca="false">IF(I326=0,0,H326/I326-1)</f>
        <v>0.0339425587467364</v>
      </c>
      <c r="M326" s="14" t="n">
        <v>1</v>
      </c>
      <c r="N326" s="18" t="n">
        <v>0.008</v>
      </c>
    </row>
    <row r="327" customFormat="false" ht="15" hidden="false" customHeight="false" outlineLevel="0" collapsed="false">
      <c r="A327" s="12" t="s">
        <v>386</v>
      </c>
      <c r="B327" s="13" t="n">
        <v>45759</v>
      </c>
      <c r="C327" s="12" t="str">
        <f aca="false">TEXT(B327,"yyyy-mm")</f>
        <v>2025-04</v>
      </c>
      <c r="D327" s="12" t="s">
        <v>39</v>
      </c>
      <c r="E327" s="12" t="s">
        <v>46</v>
      </c>
      <c r="F327" s="12" t="s">
        <v>47</v>
      </c>
      <c r="G327" s="14" t="n">
        <v>1600</v>
      </c>
      <c r="H327" s="15" t="n">
        <v>20.49</v>
      </c>
      <c r="I327" s="15" t="n">
        <v>19.11</v>
      </c>
      <c r="J327" s="16" t="n">
        <f aca="false">G327*H327</f>
        <v>32784</v>
      </c>
      <c r="K327" s="16" t="n">
        <f aca="false">(H327-I327)*G327</f>
        <v>2208</v>
      </c>
      <c r="L327" s="17" t="n">
        <f aca="false">IF(I327=0,0,H327/I327-1)</f>
        <v>0.0722135007849294</v>
      </c>
      <c r="M327" s="14" t="n">
        <v>1</v>
      </c>
      <c r="N327" s="18" t="n">
        <v>0.006</v>
      </c>
    </row>
    <row r="328" customFormat="false" ht="15" hidden="false" customHeight="false" outlineLevel="0" collapsed="false">
      <c r="A328" s="12" t="s">
        <v>387</v>
      </c>
      <c r="B328" s="13" t="n">
        <v>45759</v>
      </c>
      <c r="C328" s="12" t="str">
        <f aca="false">TEXT(B328,"yyyy-mm")</f>
        <v>2025-04</v>
      </c>
      <c r="D328" s="12" t="s">
        <v>61</v>
      </c>
      <c r="E328" s="12" t="s">
        <v>36</v>
      </c>
      <c r="F328" s="12" t="s">
        <v>37</v>
      </c>
      <c r="G328" s="14" t="n">
        <v>1600</v>
      </c>
      <c r="H328" s="15" t="n">
        <v>15.08</v>
      </c>
      <c r="I328" s="15" t="n">
        <v>14.72</v>
      </c>
      <c r="J328" s="16" t="n">
        <f aca="false">G328*H328</f>
        <v>24128</v>
      </c>
      <c r="K328" s="16" t="n">
        <f aca="false">(H328-I328)*G328</f>
        <v>575.999999999999</v>
      </c>
      <c r="L328" s="17" t="n">
        <f aca="false">IF(I328=0,0,H328/I328-1)</f>
        <v>0.0244565217391304</v>
      </c>
      <c r="M328" s="14" t="n">
        <v>1</v>
      </c>
      <c r="N328" s="18" t="n">
        <v>0.019</v>
      </c>
    </row>
    <row r="329" customFormat="false" ht="15" hidden="false" customHeight="false" outlineLevel="0" collapsed="false">
      <c r="A329" s="12" t="s">
        <v>388</v>
      </c>
      <c r="B329" s="13" t="n">
        <v>45759</v>
      </c>
      <c r="C329" s="12" t="str">
        <f aca="false">TEXT(B329,"yyyy-mm")</f>
        <v>2025-04</v>
      </c>
      <c r="D329" s="12" t="s">
        <v>80</v>
      </c>
      <c r="E329" s="12" t="s">
        <v>81</v>
      </c>
      <c r="F329" s="12" t="s">
        <v>82</v>
      </c>
      <c r="G329" s="14" t="n">
        <v>1600</v>
      </c>
      <c r="H329" s="15" t="n">
        <v>23.74</v>
      </c>
      <c r="I329" s="15" t="n">
        <v>24.19</v>
      </c>
      <c r="J329" s="16" t="n">
        <f aca="false">G329*H329</f>
        <v>37984</v>
      </c>
      <c r="K329" s="16" t="n">
        <f aca="false">(H329-I329)*G329</f>
        <v>-720.000000000005</v>
      </c>
      <c r="L329" s="17" t="n">
        <f aca="false">IF(I329=0,0,H329/I329-1)</f>
        <v>-0.0186027284001655</v>
      </c>
      <c r="M329" s="14" t="n">
        <v>0</v>
      </c>
      <c r="N329" s="18" t="n">
        <v>0.029</v>
      </c>
    </row>
    <row r="330" customFormat="false" ht="15" hidden="false" customHeight="false" outlineLevel="0" collapsed="false">
      <c r="A330" s="12" t="s">
        <v>389</v>
      </c>
      <c r="B330" s="13" t="n">
        <v>45759</v>
      </c>
      <c r="C330" s="12" t="str">
        <f aca="false">TEXT(B330,"yyyy-mm")</f>
        <v>2025-04</v>
      </c>
      <c r="D330" s="12" t="s">
        <v>53</v>
      </c>
      <c r="E330" s="12" t="s">
        <v>54</v>
      </c>
      <c r="F330" s="12" t="s">
        <v>55</v>
      </c>
      <c r="G330" s="14" t="n">
        <v>1200</v>
      </c>
      <c r="H330" s="15" t="n">
        <v>16.9</v>
      </c>
      <c r="I330" s="15" t="n">
        <v>16.07</v>
      </c>
      <c r="J330" s="16" t="n">
        <f aca="false">G330*H330</f>
        <v>20280</v>
      </c>
      <c r="K330" s="16" t="n">
        <f aca="false">(H330-I330)*G330</f>
        <v>995.999999999998</v>
      </c>
      <c r="L330" s="17" t="n">
        <f aca="false">IF(I330=0,0,H330/I330-1)</f>
        <v>0.0516490354698194</v>
      </c>
      <c r="M330" s="14" t="n">
        <v>1</v>
      </c>
      <c r="N330" s="18" t="n">
        <v>0.016</v>
      </c>
    </row>
    <row r="331" customFormat="false" ht="15" hidden="false" customHeight="false" outlineLevel="0" collapsed="false">
      <c r="A331" s="12" t="s">
        <v>390</v>
      </c>
      <c r="B331" s="13" t="n">
        <v>45759</v>
      </c>
      <c r="C331" s="12" t="str">
        <f aca="false">TEXT(B331,"yyyy-mm")</f>
        <v>2025-04</v>
      </c>
      <c r="D331" s="12" t="s">
        <v>39</v>
      </c>
      <c r="E331" s="12" t="s">
        <v>49</v>
      </c>
      <c r="F331" s="12" t="s">
        <v>50</v>
      </c>
      <c r="G331" s="14" t="n">
        <v>600</v>
      </c>
      <c r="H331" s="15" t="n">
        <v>19.39</v>
      </c>
      <c r="I331" s="15" t="n">
        <v>19.2</v>
      </c>
      <c r="J331" s="16" t="n">
        <f aca="false">G331*H331</f>
        <v>11634</v>
      </c>
      <c r="K331" s="16" t="n">
        <f aca="false">(H331-I331)*G331</f>
        <v>114.000000000001</v>
      </c>
      <c r="L331" s="17" t="n">
        <f aca="false">IF(I331=0,0,H331/I331-1)</f>
        <v>0.00989583333333344</v>
      </c>
      <c r="M331" s="14" t="n">
        <v>1</v>
      </c>
      <c r="N331" s="18" t="n">
        <v>0.039</v>
      </c>
    </row>
    <row r="332" customFormat="false" ht="15" hidden="false" customHeight="false" outlineLevel="0" collapsed="false">
      <c r="A332" s="12" t="s">
        <v>391</v>
      </c>
      <c r="B332" s="13" t="n">
        <v>45759</v>
      </c>
      <c r="C332" s="12" t="str">
        <f aca="false">TEXT(B332,"yyyy-mm")</f>
        <v>2025-04</v>
      </c>
      <c r="D332" s="12" t="s">
        <v>35</v>
      </c>
      <c r="E332" s="12" t="s">
        <v>43</v>
      </c>
      <c r="F332" s="12" t="s">
        <v>44</v>
      </c>
      <c r="G332" s="14" t="n">
        <v>2000</v>
      </c>
      <c r="H332" s="15" t="n">
        <v>16.45</v>
      </c>
      <c r="I332" s="15" t="n">
        <v>16.37</v>
      </c>
      <c r="J332" s="16" t="n">
        <f aca="false">G332*H332</f>
        <v>32900</v>
      </c>
      <c r="K332" s="16" t="n">
        <f aca="false">(H332-I332)*G332</f>
        <v>159.999999999997</v>
      </c>
      <c r="L332" s="17" t="n">
        <f aca="false">IF(I332=0,0,H332/I332-1)</f>
        <v>0.0048869883934024</v>
      </c>
      <c r="M332" s="14" t="n">
        <v>1</v>
      </c>
      <c r="N332" s="18" t="n">
        <v>0.008</v>
      </c>
    </row>
    <row r="333" customFormat="false" ht="15" hidden="false" customHeight="false" outlineLevel="0" collapsed="false">
      <c r="A333" s="12" t="s">
        <v>392</v>
      </c>
      <c r="B333" s="13" t="n">
        <v>45759</v>
      </c>
      <c r="C333" s="12" t="str">
        <f aca="false">TEXT(B333,"yyyy-mm")</f>
        <v>2025-04</v>
      </c>
      <c r="D333" s="12" t="s">
        <v>80</v>
      </c>
      <c r="E333" s="12" t="s">
        <v>92</v>
      </c>
      <c r="F333" s="12" t="s">
        <v>93</v>
      </c>
      <c r="G333" s="14" t="n">
        <v>400</v>
      </c>
      <c r="H333" s="15" t="n">
        <v>23.08</v>
      </c>
      <c r="I333" s="15" t="n">
        <v>23.7</v>
      </c>
      <c r="J333" s="16" t="n">
        <f aca="false">G333*H333</f>
        <v>9232</v>
      </c>
      <c r="K333" s="16" t="n">
        <f aca="false">(H333-I333)*G333</f>
        <v>-248</v>
      </c>
      <c r="L333" s="17" t="n">
        <f aca="false">IF(I333=0,0,H333/I333-1)</f>
        <v>-0.0261603375527426</v>
      </c>
      <c r="M333" s="14" t="n">
        <v>1</v>
      </c>
      <c r="N333" s="18" t="n">
        <v>0.036</v>
      </c>
    </row>
    <row r="334" customFormat="false" ht="15" hidden="false" customHeight="false" outlineLevel="0" collapsed="false">
      <c r="A334" s="12" t="s">
        <v>393</v>
      </c>
      <c r="B334" s="13" t="n">
        <v>45760</v>
      </c>
      <c r="C334" s="12" t="str">
        <f aca="false">TEXT(B334,"yyyy-mm")</f>
        <v>2025-04</v>
      </c>
      <c r="D334" s="12" t="s">
        <v>61</v>
      </c>
      <c r="E334" s="12" t="s">
        <v>43</v>
      </c>
      <c r="F334" s="12" t="s">
        <v>44</v>
      </c>
      <c r="G334" s="14" t="n">
        <v>400</v>
      </c>
      <c r="H334" s="15" t="n">
        <v>15.25</v>
      </c>
      <c r="I334" s="15" t="n">
        <v>14.96</v>
      </c>
      <c r="J334" s="16" t="n">
        <f aca="false">G334*H334</f>
        <v>6100</v>
      </c>
      <c r="K334" s="16" t="n">
        <f aca="false">(H334-I334)*G334</f>
        <v>116</v>
      </c>
      <c r="L334" s="17" t="n">
        <f aca="false">IF(I334=0,0,H334/I334-1)</f>
        <v>0.0193850267379678</v>
      </c>
      <c r="M334" s="14" t="n">
        <v>1</v>
      </c>
      <c r="N334" s="18" t="n">
        <v>0.014</v>
      </c>
    </row>
    <row r="335" customFormat="false" ht="15" hidden="false" customHeight="false" outlineLevel="0" collapsed="false">
      <c r="A335" s="12" t="s">
        <v>394</v>
      </c>
      <c r="B335" s="13" t="n">
        <v>45761</v>
      </c>
      <c r="C335" s="12" t="str">
        <f aca="false">TEXT(B335,"yyyy-mm")</f>
        <v>2025-04</v>
      </c>
      <c r="D335" s="12" t="s">
        <v>80</v>
      </c>
      <c r="E335" s="12" t="s">
        <v>76</v>
      </c>
      <c r="F335" s="12" t="s">
        <v>77</v>
      </c>
      <c r="G335" s="14" t="n">
        <v>800</v>
      </c>
      <c r="H335" s="15" t="n">
        <v>22.87</v>
      </c>
      <c r="I335" s="15" t="n">
        <v>23.12</v>
      </c>
      <c r="J335" s="16" t="n">
        <f aca="false">G335*H335</f>
        <v>18296</v>
      </c>
      <c r="K335" s="16" t="n">
        <f aca="false">(H335-I335)*G335</f>
        <v>-200</v>
      </c>
      <c r="L335" s="17" t="n">
        <f aca="false">IF(I335=0,0,H335/I335-1)</f>
        <v>-0.0108131487889274</v>
      </c>
      <c r="M335" s="14" t="n">
        <v>1</v>
      </c>
      <c r="N335" s="18" t="n">
        <v>0.017</v>
      </c>
    </row>
    <row r="336" customFormat="false" ht="15" hidden="false" customHeight="false" outlineLevel="0" collapsed="false">
      <c r="A336" s="12" t="s">
        <v>395</v>
      </c>
      <c r="B336" s="13" t="n">
        <v>45761</v>
      </c>
      <c r="C336" s="12" t="str">
        <f aca="false">TEXT(B336,"yyyy-mm")</f>
        <v>2025-04</v>
      </c>
      <c r="D336" s="12" t="s">
        <v>58</v>
      </c>
      <c r="E336" s="12" t="s">
        <v>59</v>
      </c>
      <c r="F336" s="12" t="s">
        <v>55</v>
      </c>
      <c r="G336" s="14" t="n">
        <v>800</v>
      </c>
      <c r="H336" s="15" t="n">
        <v>35.99</v>
      </c>
      <c r="I336" s="15" t="n">
        <v>34.68</v>
      </c>
      <c r="J336" s="16" t="n">
        <f aca="false">G336*H336</f>
        <v>28792</v>
      </c>
      <c r="K336" s="16" t="n">
        <f aca="false">(H336-I336)*G336</f>
        <v>1048</v>
      </c>
      <c r="L336" s="17" t="n">
        <f aca="false">IF(I336=0,0,H336/I336-1)</f>
        <v>0.037773933102653</v>
      </c>
      <c r="M336" s="14" t="n">
        <v>1</v>
      </c>
      <c r="N336" s="18" t="n">
        <v>0.037</v>
      </c>
    </row>
    <row r="337" customFormat="false" ht="15" hidden="false" customHeight="false" outlineLevel="0" collapsed="false">
      <c r="A337" s="12" t="s">
        <v>396</v>
      </c>
      <c r="B337" s="13" t="n">
        <v>45761</v>
      </c>
      <c r="C337" s="12" t="str">
        <f aca="false">TEXT(B337,"yyyy-mm")</f>
        <v>2025-04</v>
      </c>
      <c r="D337" s="12" t="s">
        <v>75</v>
      </c>
      <c r="E337" s="12" t="s">
        <v>76</v>
      </c>
      <c r="F337" s="12" t="s">
        <v>77</v>
      </c>
      <c r="G337" s="14" t="n">
        <v>200</v>
      </c>
      <c r="H337" s="15" t="n">
        <v>26.59</v>
      </c>
      <c r="I337" s="15" t="n">
        <v>26.21</v>
      </c>
      <c r="J337" s="16" t="n">
        <f aca="false">G337*H337</f>
        <v>5318</v>
      </c>
      <c r="K337" s="16" t="n">
        <f aca="false">(H337-I337)*G337</f>
        <v>75.9999999999998</v>
      </c>
      <c r="L337" s="17" t="n">
        <f aca="false">IF(I337=0,0,H337/I337-1)</f>
        <v>0.0144982830980542</v>
      </c>
      <c r="M337" s="14" t="n">
        <v>1</v>
      </c>
      <c r="N337" s="18" t="n">
        <v>0.046</v>
      </c>
    </row>
    <row r="338" customFormat="false" ht="15" hidden="false" customHeight="false" outlineLevel="0" collapsed="false">
      <c r="A338" s="12" t="s">
        <v>397</v>
      </c>
      <c r="B338" s="13" t="n">
        <v>45761</v>
      </c>
      <c r="C338" s="12" t="str">
        <f aca="false">TEXT(B338,"yyyy-mm")</f>
        <v>2025-04</v>
      </c>
      <c r="D338" s="12" t="s">
        <v>58</v>
      </c>
      <c r="E338" s="12" t="s">
        <v>76</v>
      </c>
      <c r="F338" s="12" t="s">
        <v>77</v>
      </c>
      <c r="G338" s="14" t="n">
        <v>200</v>
      </c>
      <c r="H338" s="15" t="n">
        <v>34.94</v>
      </c>
      <c r="I338" s="15" t="n">
        <v>33.63</v>
      </c>
      <c r="J338" s="16" t="n">
        <f aca="false">G338*H338</f>
        <v>6988</v>
      </c>
      <c r="K338" s="16" t="n">
        <f aca="false">(H338-I338)*G338</f>
        <v>261.999999999999</v>
      </c>
      <c r="L338" s="17" t="n">
        <f aca="false">IF(I338=0,0,H338/I338-1)</f>
        <v>0.03895331549212</v>
      </c>
      <c r="M338" s="14" t="n">
        <v>1</v>
      </c>
      <c r="N338" s="18" t="n">
        <v>0.019</v>
      </c>
    </row>
    <row r="339" customFormat="false" ht="15" hidden="false" customHeight="false" outlineLevel="0" collapsed="false">
      <c r="A339" s="12" t="s">
        <v>398</v>
      </c>
      <c r="B339" s="13" t="n">
        <v>45762</v>
      </c>
      <c r="C339" s="12" t="str">
        <f aca="false">TEXT(B339,"yyyy-mm")</f>
        <v>2025-04</v>
      </c>
      <c r="D339" s="12" t="s">
        <v>80</v>
      </c>
      <c r="E339" s="12" t="s">
        <v>81</v>
      </c>
      <c r="F339" s="12" t="s">
        <v>82</v>
      </c>
      <c r="G339" s="14" t="n">
        <v>1200</v>
      </c>
      <c r="H339" s="15" t="n">
        <v>23.72</v>
      </c>
      <c r="I339" s="15" t="n">
        <v>23.85</v>
      </c>
      <c r="J339" s="16" t="n">
        <f aca="false">G339*H339</f>
        <v>28464</v>
      </c>
      <c r="K339" s="16" t="n">
        <f aca="false">(H339-I339)*G339</f>
        <v>-156.000000000003</v>
      </c>
      <c r="L339" s="17" t="n">
        <f aca="false">IF(I339=0,0,H339/I339-1)</f>
        <v>-0.00545073375262062</v>
      </c>
      <c r="M339" s="14" t="n">
        <v>1</v>
      </c>
      <c r="N339" s="18" t="n">
        <v>0.046</v>
      </c>
    </row>
    <row r="340" customFormat="false" ht="15" hidden="false" customHeight="false" outlineLevel="0" collapsed="false">
      <c r="A340" s="12" t="s">
        <v>399</v>
      </c>
      <c r="B340" s="13" t="n">
        <v>45762</v>
      </c>
      <c r="C340" s="12" t="str">
        <f aca="false">TEXT(B340,"yyyy-mm")</f>
        <v>2025-04</v>
      </c>
      <c r="D340" s="12" t="s">
        <v>80</v>
      </c>
      <c r="E340" s="12" t="s">
        <v>81</v>
      </c>
      <c r="F340" s="12" t="s">
        <v>82</v>
      </c>
      <c r="G340" s="14" t="n">
        <v>1200</v>
      </c>
      <c r="H340" s="15" t="n">
        <v>22.17</v>
      </c>
      <c r="I340" s="15" t="n">
        <v>23.2</v>
      </c>
      <c r="J340" s="16" t="n">
        <f aca="false">G340*H340</f>
        <v>26604</v>
      </c>
      <c r="K340" s="16" t="n">
        <f aca="false">(H340-I340)*G340</f>
        <v>-1236</v>
      </c>
      <c r="L340" s="17" t="n">
        <f aca="false">IF(I340=0,0,H340/I340-1)</f>
        <v>-0.0443965517241378</v>
      </c>
      <c r="M340" s="14" t="n">
        <v>1</v>
      </c>
      <c r="N340" s="18" t="n">
        <v>0.027</v>
      </c>
    </row>
    <row r="341" customFormat="false" ht="15" hidden="false" customHeight="false" outlineLevel="0" collapsed="false">
      <c r="A341" s="12" t="s">
        <v>400</v>
      </c>
      <c r="B341" s="13" t="n">
        <v>45762</v>
      </c>
      <c r="C341" s="12" t="str">
        <f aca="false">TEXT(B341,"yyyy-mm")</f>
        <v>2025-04</v>
      </c>
      <c r="D341" s="12" t="s">
        <v>75</v>
      </c>
      <c r="E341" s="12" t="s">
        <v>76</v>
      </c>
      <c r="F341" s="12" t="s">
        <v>77</v>
      </c>
      <c r="G341" s="14" t="n">
        <v>1000</v>
      </c>
      <c r="H341" s="15" t="n">
        <v>28.36</v>
      </c>
      <c r="I341" s="15" t="n">
        <v>27.28</v>
      </c>
      <c r="J341" s="16" t="n">
        <f aca="false">G341*H341</f>
        <v>28360</v>
      </c>
      <c r="K341" s="16" t="n">
        <f aca="false">(H341-I341)*G341</f>
        <v>1080</v>
      </c>
      <c r="L341" s="17" t="n">
        <f aca="false">IF(I341=0,0,H341/I341-1)</f>
        <v>0.0395894428152492</v>
      </c>
      <c r="M341" s="14" t="n">
        <v>1</v>
      </c>
      <c r="N341" s="18" t="n">
        <v>0.022</v>
      </c>
    </row>
    <row r="342" customFormat="false" ht="15" hidden="false" customHeight="false" outlineLevel="0" collapsed="false">
      <c r="A342" s="12" t="s">
        <v>401</v>
      </c>
      <c r="B342" s="13" t="n">
        <v>45763</v>
      </c>
      <c r="C342" s="12" t="str">
        <f aca="false">TEXT(B342,"yyyy-mm")</f>
        <v>2025-04</v>
      </c>
      <c r="D342" s="12" t="s">
        <v>58</v>
      </c>
      <c r="E342" s="12" t="s">
        <v>59</v>
      </c>
      <c r="F342" s="12" t="s">
        <v>55</v>
      </c>
      <c r="G342" s="14" t="n">
        <v>800</v>
      </c>
      <c r="H342" s="15" t="n">
        <v>36.07</v>
      </c>
      <c r="I342" s="15" t="n">
        <v>33.46</v>
      </c>
      <c r="J342" s="16" t="n">
        <f aca="false">G342*H342</f>
        <v>28856</v>
      </c>
      <c r="K342" s="16" t="n">
        <f aca="false">(H342-I342)*G342</f>
        <v>2088</v>
      </c>
      <c r="L342" s="17" t="n">
        <f aca="false">IF(I342=0,0,H342/I342-1)</f>
        <v>0.0780035863717872</v>
      </c>
      <c r="M342" s="14" t="n">
        <v>1</v>
      </c>
      <c r="N342" s="18" t="n">
        <v>0.016</v>
      </c>
    </row>
    <row r="343" customFormat="false" ht="15" hidden="false" customHeight="false" outlineLevel="0" collapsed="false">
      <c r="A343" s="12" t="s">
        <v>402</v>
      </c>
      <c r="B343" s="13" t="n">
        <v>45763</v>
      </c>
      <c r="C343" s="12" t="str">
        <f aca="false">TEXT(B343,"yyyy-mm")</f>
        <v>2025-04</v>
      </c>
      <c r="D343" s="12" t="s">
        <v>80</v>
      </c>
      <c r="E343" s="12" t="s">
        <v>81</v>
      </c>
      <c r="F343" s="12" t="s">
        <v>82</v>
      </c>
      <c r="G343" s="14" t="n">
        <v>1200</v>
      </c>
      <c r="H343" s="15" t="n">
        <v>22.17</v>
      </c>
      <c r="I343" s="15" t="n">
        <v>23.08</v>
      </c>
      <c r="J343" s="16" t="n">
        <f aca="false">G343*H343</f>
        <v>26604</v>
      </c>
      <c r="K343" s="16" t="n">
        <f aca="false">(H343-I343)*G343</f>
        <v>-1092</v>
      </c>
      <c r="L343" s="17" t="n">
        <f aca="false">IF(I343=0,0,H343/I343-1)</f>
        <v>-0.039428076256499</v>
      </c>
      <c r="M343" s="14" t="n">
        <v>1</v>
      </c>
      <c r="N343" s="18" t="n">
        <v>0.036</v>
      </c>
    </row>
    <row r="344" customFormat="false" ht="15" hidden="false" customHeight="false" outlineLevel="0" collapsed="false">
      <c r="A344" s="12" t="s">
        <v>403</v>
      </c>
      <c r="B344" s="13" t="n">
        <v>45763</v>
      </c>
      <c r="C344" s="12" t="str">
        <f aca="false">TEXT(B344,"yyyy-mm")</f>
        <v>2025-04</v>
      </c>
      <c r="D344" s="12" t="s">
        <v>39</v>
      </c>
      <c r="E344" s="12" t="s">
        <v>49</v>
      </c>
      <c r="F344" s="12" t="s">
        <v>50</v>
      </c>
      <c r="G344" s="14" t="n">
        <v>1000</v>
      </c>
      <c r="H344" s="15" t="n">
        <v>18.64</v>
      </c>
      <c r="I344" s="15" t="n">
        <v>18.74</v>
      </c>
      <c r="J344" s="16" t="n">
        <f aca="false">G344*H344</f>
        <v>18640</v>
      </c>
      <c r="K344" s="16" t="n">
        <f aca="false">(H344-I344)*G344</f>
        <v>-99.9999999999979</v>
      </c>
      <c r="L344" s="17" t="n">
        <f aca="false">IF(I344=0,0,H344/I344-1)</f>
        <v>-0.00533617929562424</v>
      </c>
      <c r="M344" s="14" t="n">
        <v>1</v>
      </c>
      <c r="N344" s="18" t="n">
        <v>0.041</v>
      </c>
    </row>
    <row r="345" customFormat="false" ht="15" hidden="false" customHeight="false" outlineLevel="0" collapsed="false">
      <c r="A345" s="12" t="s">
        <v>404</v>
      </c>
      <c r="B345" s="13" t="n">
        <v>45764</v>
      </c>
      <c r="C345" s="12" t="str">
        <f aca="false">TEXT(B345,"yyyy-mm")</f>
        <v>2025-04</v>
      </c>
      <c r="D345" s="12" t="s">
        <v>35</v>
      </c>
      <c r="E345" s="12" t="s">
        <v>36</v>
      </c>
      <c r="F345" s="12" t="s">
        <v>37</v>
      </c>
      <c r="G345" s="14" t="n">
        <v>4000</v>
      </c>
      <c r="H345" s="15" t="n">
        <v>16.14</v>
      </c>
      <c r="I345" s="15" t="n">
        <v>16.22</v>
      </c>
      <c r="J345" s="16" t="n">
        <f aca="false">G345*H345</f>
        <v>64560</v>
      </c>
      <c r="K345" s="16" t="n">
        <f aca="false">(H345-I345)*G345</f>
        <v>-319.999999999993</v>
      </c>
      <c r="L345" s="17" t="n">
        <f aca="false">IF(I345=0,0,H345/I345-1)</f>
        <v>-0.004932182490752</v>
      </c>
      <c r="M345" s="14" t="n">
        <v>1</v>
      </c>
      <c r="N345" s="18" t="n">
        <v>0.016</v>
      </c>
    </row>
    <row r="346" customFormat="false" ht="15" hidden="false" customHeight="false" outlineLevel="0" collapsed="false">
      <c r="A346" s="12" t="s">
        <v>405</v>
      </c>
      <c r="B346" s="13" t="n">
        <v>45764</v>
      </c>
      <c r="C346" s="12" t="str">
        <f aca="false">TEXT(B346,"yyyy-mm")</f>
        <v>2025-04</v>
      </c>
      <c r="D346" s="12" t="s">
        <v>61</v>
      </c>
      <c r="E346" s="12" t="s">
        <v>43</v>
      </c>
      <c r="F346" s="12" t="s">
        <v>44</v>
      </c>
      <c r="G346" s="14" t="n">
        <v>800</v>
      </c>
      <c r="H346" s="15" t="n">
        <v>14.94</v>
      </c>
      <c r="I346" s="15" t="n">
        <v>14.28</v>
      </c>
      <c r="J346" s="16" t="n">
        <f aca="false">G346*H346</f>
        <v>11952</v>
      </c>
      <c r="K346" s="16" t="n">
        <f aca="false">(H346-I346)*G346</f>
        <v>528</v>
      </c>
      <c r="L346" s="17" t="n">
        <f aca="false">IF(I346=0,0,H346/I346-1)</f>
        <v>0.046218487394958</v>
      </c>
      <c r="M346" s="14" t="n">
        <v>0</v>
      </c>
      <c r="N346" s="18" t="n">
        <v>0.006</v>
      </c>
    </row>
    <row r="347" customFormat="false" ht="15" hidden="false" customHeight="false" outlineLevel="0" collapsed="false">
      <c r="A347" s="12" t="s">
        <v>406</v>
      </c>
      <c r="B347" s="13" t="n">
        <v>45764</v>
      </c>
      <c r="C347" s="12" t="str">
        <f aca="false">TEXT(B347,"yyyy-mm")</f>
        <v>2025-04</v>
      </c>
      <c r="D347" s="12" t="s">
        <v>53</v>
      </c>
      <c r="E347" s="12" t="s">
        <v>54</v>
      </c>
      <c r="F347" s="12" t="s">
        <v>55</v>
      </c>
      <c r="G347" s="14" t="n">
        <v>2000</v>
      </c>
      <c r="H347" s="15" t="n">
        <v>17.02</v>
      </c>
      <c r="I347" s="15" t="n">
        <v>16.79</v>
      </c>
      <c r="J347" s="16" t="n">
        <f aca="false">G347*H347</f>
        <v>34040</v>
      </c>
      <c r="K347" s="16" t="n">
        <f aca="false">(H347-I347)*G347</f>
        <v>460.000000000001</v>
      </c>
      <c r="L347" s="17" t="n">
        <f aca="false">IF(I347=0,0,H347/I347-1)</f>
        <v>0.0136986301369864</v>
      </c>
      <c r="M347" s="14" t="n">
        <v>1</v>
      </c>
      <c r="N347" s="18" t="n">
        <v>0.015</v>
      </c>
    </row>
    <row r="348" customFormat="false" ht="15" hidden="false" customHeight="false" outlineLevel="0" collapsed="false">
      <c r="A348" s="12" t="s">
        <v>407</v>
      </c>
      <c r="B348" s="13" t="n">
        <v>45765</v>
      </c>
      <c r="C348" s="12" t="str">
        <f aca="false">TEXT(B348,"yyyy-mm")</f>
        <v>2025-04</v>
      </c>
      <c r="D348" s="12" t="s">
        <v>39</v>
      </c>
      <c r="E348" s="12" t="s">
        <v>40</v>
      </c>
      <c r="F348" s="12" t="s">
        <v>41</v>
      </c>
      <c r="G348" s="14" t="n">
        <v>400</v>
      </c>
      <c r="H348" s="15" t="n">
        <v>20.52</v>
      </c>
      <c r="I348" s="15" t="n">
        <v>19.63</v>
      </c>
      <c r="J348" s="16" t="n">
        <f aca="false">G348*H348</f>
        <v>8208</v>
      </c>
      <c r="K348" s="16" t="n">
        <f aca="false">(H348-I348)*G348</f>
        <v>356</v>
      </c>
      <c r="L348" s="17" t="n">
        <f aca="false">IF(I348=0,0,H348/I348-1)</f>
        <v>0.0453387671930718</v>
      </c>
      <c r="M348" s="14" t="n">
        <v>1</v>
      </c>
      <c r="N348" s="18" t="n">
        <v>0.017</v>
      </c>
    </row>
    <row r="349" customFormat="false" ht="15" hidden="false" customHeight="false" outlineLevel="0" collapsed="false">
      <c r="A349" s="12" t="s">
        <v>408</v>
      </c>
      <c r="B349" s="13" t="n">
        <v>45765</v>
      </c>
      <c r="C349" s="12" t="str">
        <f aca="false">TEXT(B349,"yyyy-mm")</f>
        <v>2025-04</v>
      </c>
      <c r="D349" s="12" t="s">
        <v>35</v>
      </c>
      <c r="E349" s="12" t="s">
        <v>36</v>
      </c>
      <c r="F349" s="12" t="s">
        <v>37</v>
      </c>
      <c r="G349" s="14" t="n">
        <v>400</v>
      </c>
      <c r="H349" s="15" t="n">
        <v>17.16</v>
      </c>
      <c r="I349" s="15" t="n">
        <v>16.97</v>
      </c>
      <c r="J349" s="16" t="n">
        <f aca="false">G349*H349</f>
        <v>6864</v>
      </c>
      <c r="K349" s="16" t="n">
        <f aca="false">(H349-I349)*G349</f>
        <v>76.0000000000005</v>
      </c>
      <c r="L349" s="17" t="n">
        <f aca="false">IF(I349=0,0,H349/I349-1)</f>
        <v>0.0111962286387743</v>
      </c>
      <c r="M349" s="14" t="n">
        <v>1</v>
      </c>
      <c r="N349" s="18" t="n">
        <v>0.015</v>
      </c>
    </row>
    <row r="350" customFormat="false" ht="15" hidden="false" customHeight="false" outlineLevel="0" collapsed="false">
      <c r="A350" s="12" t="s">
        <v>409</v>
      </c>
      <c r="B350" s="13" t="n">
        <v>45766</v>
      </c>
      <c r="C350" s="12" t="str">
        <f aca="false">TEXT(B350,"yyyy-mm")</f>
        <v>2025-04</v>
      </c>
      <c r="D350" s="12" t="s">
        <v>111</v>
      </c>
      <c r="E350" s="12" t="s">
        <v>76</v>
      </c>
      <c r="F350" s="12" t="s">
        <v>77</v>
      </c>
      <c r="G350" s="14" t="n">
        <v>600</v>
      </c>
      <c r="H350" s="15" t="n">
        <v>20.69</v>
      </c>
      <c r="I350" s="15" t="n">
        <v>20.47</v>
      </c>
      <c r="J350" s="16" t="n">
        <f aca="false">G350*H350</f>
        <v>12414</v>
      </c>
      <c r="K350" s="16" t="n">
        <f aca="false">(H350-I350)*G350</f>
        <v>132.000000000001</v>
      </c>
      <c r="L350" s="17" t="n">
        <f aca="false">IF(I350=0,0,H350/I350-1)</f>
        <v>0.0107474352711285</v>
      </c>
      <c r="M350" s="14" t="n">
        <v>1</v>
      </c>
      <c r="N350" s="18" t="n">
        <v>0.035</v>
      </c>
    </row>
    <row r="351" customFormat="false" ht="15" hidden="false" customHeight="false" outlineLevel="0" collapsed="false">
      <c r="A351" s="12" t="s">
        <v>410</v>
      </c>
      <c r="B351" s="13" t="n">
        <v>45766</v>
      </c>
      <c r="C351" s="12" t="str">
        <f aca="false">TEXT(B351,"yyyy-mm")</f>
        <v>2025-04</v>
      </c>
      <c r="D351" s="12" t="s">
        <v>80</v>
      </c>
      <c r="E351" s="12" t="s">
        <v>76</v>
      </c>
      <c r="F351" s="12" t="s">
        <v>77</v>
      </c>
      <c r="G351" s="14" t="n">
        <v>600</v>
      </c>
      <c r="H351" s="15" t="n">
        <v>23.31</v>
      </c>
      <c r="I351" s="15" t="n">
        <v>22.98</v>
      </c>
      <c r="J351" s="16" t="n">
        <f aca="false">G351*H351</f>
        <v>13986</v>
      </c>
      <c r="K351" s="16" t="n">
        <f aca="false">(H351-I351)*G351</f>
        <v>197.999999999999</v>
      </c>
      <c r="L351" s="17" t="n">
        <f aca="false">IF(I351=0,0,H351/I351-1)</f>
        <v>0.0143603133159269</v>
      </c>
      <c r="M351" s="14" t="n">
        <v>1</v>
      </c>
      <c r="N351" s="18" t="n">
        <v>0.029</v>
      </c>
    </row>
    <row r="352" customFormat="false" ht="15" hidden="false" customHeight="false" outlineLevel="0" collapsed="false">
      <c r="A352" s="12" t="s">
        <v>411</v>
      </c>
      <c r="B352" s="13" t="n">
        <v>45766</v>
      </c>
      <c r="C352" s="12" t="str">
        <f aca="false">TEXT(B352,"yyyy-mm")</f>
        <v>2025-04</v>
      </c>
      <c r="D352" s="12" t="s">
        <v>80</v>
      </c>
      <c r="E352" s="12" t="s">
        <v>76</v>
      </c>
      <c r="F352" s="12" t="s">
        <v>77</v>
      </c>
      <c r="G352" s="14" t="n">
        <v>2000</v>
      </c>
      <c r="H352" s="15" t="n">
        <v>23.05</v>
      </c>
      <c r="I352" s="15" t="n">
        <v>23.16</v>
      </c>
      <c r="J352" s="16" t="n">
        <f aca="false">G352*H352</f>
        <v>46100</v>
      </c>
      <c r="K352" s="16" t="n">
        <f aca="false">(H352-I352)*G352</f>
        <v>-219.999999999999</v>
      </c>
      <c r="L352" s="17" t="n">
        <f aca="false">IF(I352=0,0,H352/I352-1)</f>
        <v>-0.00474956822107076</v>
      </c>
      <c r="M352" s="14" t="n">
        <v>1</v>
      </c>
      <c r="N352" s="18" t="n">
        <v>0.025</v>
      </c>
    </row>
    <row r="353" customFormat="false" ht="15" hidden="false" customHeight="false" outlineLevel="0" collapsed="false">
      <c r="A353" s="12" t="s">
        <v>412</v>
      </c>
      <c r="B353" s="13" t="n">
        <v>45766</v>
      </c>
      <c r="C353" s="12" t="str">
        <f aca="false">TEXT(B353,"yyyy-mm")</f>
        <v>2025-04</v>
      </c>
      <c r="D353" s="12" t="s">
        <v>80</v>
      </c>
      <c r="E353" s="12" t="s">
        <v>76</v>
      </c>
      <c r="F353" s="12" t="s">
        <v>77</v>
      </c>
      <c r="G353" s="14" t="n">
        <v>200</v>
      </c>
      <c r="H353" s="15" t="n">
        <v>24.1</v>
      </c>
      <c r="I353" s="15" t="n">
        <v>23.38</v>
      </c>
      <c r="J353" s="16" t="n">
        <f aca="false">G353*H353</f>
        <v>4820</v>
      </c>
      <c r="K353" s="16" t="n">
        <f aca="false">(H353-I353)*G353</f>
        <v>144</v>
      </c>
      <c r="L353" s="17" t="n">
        <f aca="false">IF(I353=0,0,H353/I353-1)</f>
        <v>0.0307955517536358</v>
      </c>
      <c r="M353" s="14" t="n">
        <v>1</v>
      </c>
      <c r="N353" s="18" t="n">
        <v>0.02</v>
      </c>
    </row>
    <row r="354" customFormat="false" ht="15" hidden="false" customHeight="false" outlineLevel="0" collapsed="false">
      <c r="A354" s="12" t="s">
        <v>413</v>
      </c>
      <c r="B354" s="13" t="n">
        <v>45767</v>
      </c>
      <c r="C354" s="12" t="str">
        <f aca="false">TEXT(B354,"yyyy-mm")</f>
        <v>2025-04</v>
      </c>
      <c r="D354" s="12" t="s">
        <v>61</v>
      </c>
      <c r="E354" s="12" t="s">
        <v>36</v>
      </c>
      <c r="F354" s="12" t="s">
        <v>37</v>
      </c>
      <c r="G354" s="14" t="n">
        <v>200</v>
      </c>
      <c r="H354" s="15" t="n">
        <v>14.81</v>
      </c>
      <c r="I354" s="15" t="n">
        <v>15.02</v>
      </c>
      <c r="J354" s="16" t="n">
        <f aca="false">G354*H354</f>
        <v>2962</v>
      </c>
      <c r="K354" s="16" t="n">
        <f aca="false">(H354-I354)*G354</f>
        <v>-41.9999999999998</v>
      </c>
      <c r="L354" s="17" t="n">
        <f aca="false">IF(I354=0,0,H354/I354-1)</f>
        <v>-0.0139813581890812</v>
      </c>
      <c r="M354" s="14" t="n">
        <v>1</v>
      </c>
      <c r="N354" s="18" t="n">
        <v>0.02</v>
      </c>
    </row>
    <row r="355" customFormat="false" ht="15" hidden="false" customHeight="false" outlineLevel="0" collapsed="false">
      <c r="A355" s="12" t="s">
        <v>414</v>
      </c>
      <c r="B355" s="13" t="n">
        <v>45768</v>
      </c>
      <c r="C355" s="12" t="str">
        <f aca="false">TEXT(B355,"yyyy-mm")</f>
        <v>2025-04</v>
      </c>
      <c r="D355" s="12" t="s">
        <v>61</v>
      </c>
      <c r="E355" s="12" t="s">
        <v>43</v>
      </c>
      <c r="F355" s="12" t="s">
        <v>44</v>
      </c>
      <c r="G355" s="14" t="n">
        <v>800</v>
      </c>
      <c r="H355" s="15" t="n">
        <v>15.2</v>
      </c>
      <c r="I355" s="15" t="n">
        <v>14.81</v>
      </c>
      <c r="J355" s="16" t="n">
        <f aca="false">G355*H355</f>
        <v>12160</v>
      </c>
      <c r="K355" s="16" t="n">
        <f aca="false">(H355-I355)*G355</f>
        <v>311.999999999999</v>
      </c>
      <c r="L355" s="17" t="n">
        <f aca="false">IF(I355=0,0,H355/I355-1)</f>
        <v>0.0263335584064821</v>
      </c>
      <c r="M355" s="14" t="n">
        <v>1</v>
      </c>
      <c r="N355" s="18" t="n">
        <v>0.016</v>
      </c>
    </row>
    <row r="356" customFormat="false" ht="15" hidden="false" customHeight="false" outlineLevel="0" collapsed="false">
      <c r="A356" s="12" t="s">
        <v>415</v>
      </c>
      <c r="B356" s="13" t="n">
        <v>45768</v>
      </c>
      <c r="C356" s="12" t="str">
        <f aca="false">TEXT(B356,"yyyy-mm")</f>
        <v>2025-04</v>
      </c>
      <c r="D356" s="12" t="s">
        <v>75</v>
      </c>
      <c r="E356" s="12" t="s">
        <v>49</v>
      </c>
      <c r="F356" s="12" t="s">
        <v>50</v>
      </c>
      <c r="G356" s="14" t="n">
        <v>1600</v>
      </c>
      <c r="H356" s="15" t="n">
        <v>26.88</v>
      </c>
      <c r="I356" s="15" t="n">
        <v>26.61</v>
      </c>
      <c r="J356" s="16" t="n">
        <f aca="false">G356*H356</f>
        <v>43008</v>
      </c>
      <c r="K356" s="16" t="n">
        <f aca="false">(H356-I356)*G356</f>
        <v>431.999999999999</v>
      </c>
      <c r="L356" s="17" t="n">
        <f aca="false">IF(I356=0,0,H356/I356-1)</f>
        <v>0.0101465614430665</v>
      </c>
      <c r="M356" s="14" t="n">
        <v>1</v>
      </c>
      <c r="N356" s="18" t="n">
        <v>0.03</v>
      </c>
    </row>
    <row r="357" customFormat="false" ht="15" hidden="false" customHeight="false" outlineLevel="0" collapsed="false">
      <c r="A357" s="12" t="s">
        <v>416</v>
      </c>
      <c r="B357" s="13" t="n">
        <v>45769</v>
      </c>
      <c r="C357" s="12" t="str">
        <f aca="false">TEXT(B357,"yyyy-mm")</f>
        <v>2025-04</v>
      </c>
      <c r="D357" s="12" t="s">
        <v>75</v>
      </c>
      <c r="E357" s="12" t="s">
        <v>40</v>
      </c>
      <c r="F357" s="12" t="s">
        <v>41</v>
      </c>
      <c r="G357" s="14" t="n">
        <v>200</v>
      </c>
      <c r="H357" s="15" t="n">
        <v>26.8</v>
      </c>
      <c r="I357" s="15" t="n">
        <v>27.1</v>
      </c>
      <c r="J357" s="16" t="n">
        <f aca="false">G357*H357</f>
        <v>5360</v>
      </c>
      <c r="K357" s="16" t="n">
        <f aca="false">(H357-I357)*G357</f>
        <v>-60.0000000000001</v>
      </c>
      <c r="L357" s="17" t="n">
        <f aca="false">IF(I357=0,0,H357/I357-1)</f>
        <v>-0.0110701107011071</v>
      </c>
      <c r="M357" s="14" t="n">
        <v>1</v>
      </c>
      <c r="N357" s="18" t="n">
        <v>0.018</v>
      </c>
    </row>
    <row r="358" customFormat="false" ht="15" hidden="false" customHeight="false" outlineLevel="0" collapsed="false">
      <c r="A358" s="12" t="s">
        <v>417</v>
      </c>
      <c r="B358" s="13" t="n">
        <v>45770</v>
      </c>
      <c r="C358" s="12" t="str">
        <f aca="false">TEXT(B358,"yyyy-mm")</f>
        <v>2025-04</v>
      </c>
      <c r="D358" s="12" t="s">
        <v>35</v>
      </c>
      <c r="E358" s="12" t="s">
        <v>36</v>
      </c>
      <c r="F358" s="12" t="s">
        <v>37</v>
      </c>
      <c r="G358" s="14" t="n">
        <v>1600</v>
      </c>
      <c r="H358" s="15" t="n">
        <v>17.21</v>
      </c>
      <c r="I358" s="15" t="n">
        <v>16.88</v>
      </c>
      <c r="J358" s="16" t="n">
        <f aca="false">G358*H358</f>
        <v>27536</v>
      </c>
      <c r="K358" s="16" t="n">
        <f aca="false">(H358-I358)*G358</f>
        <v>528.000000000003</v>
      </c>
      <c r="L358" s="17" t="n">
        <f aca="false">IF(I358=0,0,H358/I358-1)</f>
        <v>0.0195497630331756</v>
      </c>
      <c r="M358" s="14" t="n">
        <v>1</v>
      </c>
      <c r="N358" s="18" t="n">
        <v>0.017</v>
      </c>
    </row>
    <row r="359" customFormat="false" ht="15" hidden="false" customHeight="false" outlineLevel="0" collapsed="false">
      <c r="A359" s="12" t="s">
        <v>418</v>
      </c>
      <c r="B359" s="13" t="n">
        <v>45770</v>
      </c>
      <c r="C359" s="12" t="str">
        <f aca="false">TEXT(B359,"yyyy-mm")</f>
        <v>2025-04</v>
      </c>
      <c r="D359" s="12" t="s">
        <v>35</v>
      </c>
      <c r="E359" s="12" t="s">
        <v>43</v>
      </c>
      <c r="F359" s="12" t="s">
        <v>44</v>
      </c>
      <c r="G359" s="14" t="n">
        <v>3200</v>
      </c>
      <c r="H359" s="15" t="n">
        <v>17.6</v>
      </c>
      <c r="I359" s="15" t="n">
        <v>16.49</v>
      </c>
      <c r="J359" s="16" t="n">
        <f aca="false">G359*H359</f>
        <v>56320</v>
      </c>
      <c r="K359" s="16" t="n">
        <f aca="false">(H359-I359)*G359</f>
        <v>3552.00000000001</v>
      </c>
      <c r="L359" s="17" t="n">
        <f aca="false">IF(I359=0,0,H359/I359-1)</f>
        <v>0.0673135233474835</v>
      </c>
      <c r="M359" s="14" t="n">
        <v>1</v>
      </c>
      <c r="N359" s="18" t="n">
        <v>0.009</v>
      </c>
    </row>
    <row r="360" customFormat="false" ht="15" hidden="false" customHeight="false" outlineLevel="0" collapsed="false">
      <c r="A360" s="12" t="s">
        <v>419</v>
      </c>
      <c r="B360" s="13" t="n">
        <v>45770</v>
      </c>
      <c r="C360" s="12" t="str">
        <f aca="false">TEXT(B360,"yyyy-mm")</f>
        <v>2025-04</v>
      </c>
      <c r="D360" s="12" t="s">
        <v>35</v>
      </c>
      <c r="E360" s="12" t="s">
        <v>43</v>
      </c>
      <c r="F360" s="12" t="s">
        <v>44</v>
      </c>
      <c r="G360" s="14" t="n">
        <v>800</v>
      </c>
      <c r="H360" s="15" t="n">
        <v>16.47</v>
      </c>
      <c r="I360" s="15" t="n">
        <v>16.18</v>
      </c>
      <c r="J360" s="16" t="n">
        <f aca="false">G360*H360</f>
        <v>13176</v>
      </c>
      <c r="K360" s="16" t="n">
        <f aca="false">(H360-I360)*G360</f>
        <v>231.999999999999</v>
      </c>
      <c r="L360" s="17" t="n">
        <f aca="false">IF(I360=0,0,H360/I360-1)</f>
        <v>0.0179233621755253</v>
      </c>
      <c r="M360" s="14" t="n">
        <v>1</v>
      </c>
      <c r="N360" s="18" t="n">
        <v>0.015</v>
      </c>
    </row>
    <row r="361" customFormat="false" ht="15" hidden="false" customHeight="false" outlineLevel="0" collapsed="false">
      <c r="A361" s="12" t="s">
        <v>420</v>
      </c>
      <c r="B361" s="13" t="n">
        <v>45770</v>
      </c>
      <c r="C361" s="12" t="str">
        <f aca="false">TEXT(B361,"yyyy-mm")</f>
        <v>2025-04</v>
      </c>
      <c r="D361" s="12" t="s">
        <v>35</v>
      </c>
      <c r="E361" s="12" t="s">
        <v>36</v>
      </c>
      <c r="F361" s="12" t="s">
        <v>37</v>
      </c>
      <c r="G361" s="14" t="n">
        <v>2400</v>
      </c>
      <c r="H361" s="15" t="n">
        <v>16.75</v>
      </c>
      <c r="I361" s="15" t="n">
        <v>17</v>
      </c>
      <c r="J361" s="16" t="n">
        <f aca="false">G361*H361</f>
        <v>40200</v>
      </c>
      <c r="K361" s="16" t="n">
        <f aca="false">(H361-I361)*G361</f>
        <v>-600</v>
      </c>
      <c r="L361" s="17" t="n">
        <f aca="false">IF(I361=0,0,H361/I361-1)</f>
        <v>-0.0147058823529411</v>
      </c>
      <c r="M361" s="14" t="n">
        <v>1</v>
      </c>
      <c r="N361" s="18" t="n">
        <v>0.021</v>
      </c>
    </row>
    <row r="362" customFormat="false" ht="15" hidden="false" customHeight="false" outlineLevel="0" collapsed="false">
      <c r="A362" s="12" t="s">
        <v>421</v>
      </c>
      <c r="B362" s="13" t="n">
        <v>45771</v>
      </c>
      <c r="C362" s="12" t="str">
        <f aca="false">TEXT(B362,"yyyy-mm")</f>
        <v>2025-04</v>
      </c>
      <c r="D362" s="12" t="s">
        <v>58</v>
      </c>
      <c r="E362" s="12" t="s">
        <v>59</v>
      </c>
      <c r="F362" s="12" t="s">
        <v>55</v>
      </c>
      <c r="G362" s="14" t="n">
        <v>1600</v>
      </c>
      <c r="H362" s="15" t="n">
        <v>35.95</v>
      </c>
      <c r="I362" s="15" t="n">
        <v>33.48</v>
      </c>
      <c r="J362" s="16" t="n">
        <f aca="false">G362*H362</f>
        <v>57520</v>
      </c>
      <c r="K362" s="16" t="n">
        <f aca="false">(H362-I362)*G362</f>
        <v>3952.00000000001</v>
      </c>
      <c r="L362" s="17" t="n">
        <f aca="false">IF(I362=0,0,H362/I362-1)</f>
        <v>0.0737753882915175</v>
      </c>
      <c r="M362" s="14" t="n">
        <v>1</v>
      </c>
      <c r="N362" s="18" t="n">
        <v>0.01</v>
      </c>
    </row>
    <row r="363" customFormat="false" ht="15" hidden="false" customHeight="false" outlineLevel="0" collapsed="false">
      <c r="A363" s="12" t="s">
        <v>422</v>
      </c>
      <c r="B363" s="13" t="n">
        <v>45771</v>
      </c>
      <c r="C363" s="12" t="str">
        <f aca="false">TEXT(B363,"yyyy-mm")</f>
        <v>2025-04</v>
      </c>
      <c r="D363" s="12" t="s">
        <v>80</v>
      </c>
      <c r="E363" s="12" t="s">
        <v>76</v>
      </c>
      <c r="F363" s="12" t="s">
        <v>77</v>
      </c>
      <c r="G363" s="14" t="n">
        <v>400</v>
      </c>
      <c r="H363" s="15" t="n">
        <v>23.84</v>
      </c>
      <c r="I363" s="15" t="n">
        <v>24.14</v>
      </c>
      <c r="J363" s="16" t="n">
        <f aca="false">G363*H363</f>
        <v>9536</v>
      </c>
      <c r="K363" s="16" t="n">
        <f aca="false">(H363-I363)*G363</f>
        <v>-120</v>
      </c>
      <c r="L363" s="17" t="n">
        <f aca="false">IF(I363=0,0,H363/I363-1)</f>
        <v>-0.0124275062137531</v>
      </c>
      <c r="M363" s="14" t="n">
        <v>1</v>
      </c>
      <c r="N363" s="18" t="n">
        <v>0.01</v>
      </c>
    </row>
    <row r="364" customFormat="false" ht="15" hidden="false" customHeight="false" outlineLevel="0" collapsed="false">
      <c r="A364" s="12" t="s">
        <v>423</v>
      </c>
      <c r="B364" s="13" t="n">
        <v>45771</v>
      </c>
      <c r="C364" s="12" t="str">
        <f aca="false">TEXT(B364,"yyyy-mm")</f>
        <v>2025-04</v>
      </c>
      <c r="D364" s="12" t="s">
        <v>35</v>
      </c>
      <c r="E364" s="12" t="s">
        <v>43</v>
      </c>
      <c r="F364" s="12" t="s">
        <v>44</v>
      </c>
      <c r="G364" s="14" t="n">
        <v>4000</v>
      </c>
      <c r="H364" s="15" t="n">
        <v>16.87</v>
      </c>
      <c r="I364" s="15" t="n">
        <v>16.63</v>
      </c>
      <c r="J364" s="16" t="n">
        <f aca="false">G364*H364</f>
        <v>67480</v>
      </c>
      <c r="K364" s="16" t="n">
        <f aca="false">(H364-I364)*G364</f>
        <v>960.000000000008</v>
      </c>
      <c r="L364" s="17" t="n">
        <f aca="false">IF(I364=0,0,H364/I364-1)</f>
        <v>0.0144317498496693</v>
      </c>
      <c r="M364" s="14" t="n">
        <v>1</v>
      </c>
      <c r="N364" s="18" t="n">
        <v>0.021</v>
      </c>
    </row>
    <row r="365" customFormat="false" ht="15" hidden="false" customHeight="false" outlineLevel="0" collapsed="false">
      <c r="A365" s="12" t="s">
        <v>424</v>
      </c>
      <c r="B365" s="13" t="n">
        <v>45771</v>
      </c>
      <c r="C365" s="12" t="str">
        <f aca="false">TEXT(B365,"yyyy-mm")</f>
        <v>2025-04</v>
      </c>
      <c r="D365" s="12" t="s">
        <v>35</v>
      </c>
      <c r="E365" s="12" t="s">
        <v>36</v>
      </c>
      <c r="F365" s="12" t="s">
        <v>37</v>
      </c>
      <c r="G365" s="14" t="n">
        <v>2000</v>
      </c>
      <c r="H365" s="15" t="n">
        <v>16.76</v>
      </c>
      <c r="I365" s="15" t="n">
        <v>16.28</v>
      </c>
      <c r="J365" s="16" t="n">
        <f aca="false">G365*H365</f>
        <v>33520</v>
      </c>
      <c r="K365" s="16" t="n">
        <f aca="false">(H365-I365)*G365</f>
        <v>960.000000000001</v>
      </c>
      <c r="L365" s="17" t="n">
        <f aca="false">IF(I365=0,0,H365/I365-1)</f>
        <v>0.0294840294840295</v>
      </c>
      <c r="M365" s="14" t="n">
        <v>1</v>
      </c>
      <c r="N365" s="18" t="n">
        <v>0.01</v>
      </c>
    </row>
    <row r="366" customFormat="false" ht="15" hidden="false" customHeight="false" outlineLevel="0" collapsed="false">
      <c r="A366" s="12" t="s">
        <v>425</v>
      </c>
      <c r="B366" s="13" t="n">
        <v>45771</v>
      </c>
      <c r="C366" s="12" t="str">
        <f aca="false">TEXT(B366,"yyyy-mm")</f>
        <v>2025-04</v>
      </c>
      <c r="D366" s="12" t="s">
        <v>61</v>
      </c>
      <c r="E366" s="12" t="s">
        <v>36</v>
      </c>
      <c r="F366" s="12" t="s">
        <v>37</v>
      </c>
      <c r="G366" s="14" t="n">
        <v>1600</v>
      </c>
      <c r="H366" s="15" t="n">
        <v>14.06</v>
      </c>
      <c r="I366" s="15" t="n">
        <v>14.21</v>
      </c>
      <c r="J366" s="16" t="n">
        <f aca="false">G366*H366</f>
        <v>22496</v>
      </c>
      <c r="K366" s="16" t="n">
        <f aca="false">(H366-I366)*G366</f>
        <v>-240.000000000001</v>
      </c>
      <c r="L366" s="17" t="n">
        <f aca="false">IF(I366=0,0,H366/I366-1)</f>
        <v>-0.0105559465165377</v>
      </c>
      <c r="M366" s="14" t="n">
        <v>1</v>
      </c>
      <c r="N366" s="18" t="n">
        <v>0.021</v>
      </c>
    </row>
    <row r="367" customFormat="false" ht="15" hidden="false" customHeight="false" outlineLevel="0" collapsed="false">
      <c r="A367" s="12" t="s">
        <v>426</v>
      </c>
      <c r="B367" s="13" t="n">
        <v>45771</v>
      </c>
      <c r="C367" s="12" t="str">
        <f aca="false">TEXT(B367,"yyyy-mm")</f>
        <v>2025-04</v>
      </c>
      <c r="D367" s="12" t="s">
        <v>39</v>
      </c>
      <c r="E367" s="12" t="s">
        <v>49</v>
      </c>
      <c r="F367" s="12" t="s">
        <v>50</v>
      </c>
      <c r="G367" s="14" t="n">
        <v>600</v>
      </c>
      <c r="H367" s="15" t="n">
        <v>19.21</v>
      </c>
      <c r="I367" s="15" t="n">
        <v>19.29</v>
      </c>
      <c r="J367" s="16" t="n">
        <f aca="false">G367*H367</f>
        <v>11526</v>
      </c>
      <c r="K367" s="16" t="n">
        <f aca="false">(H367-I367)*G367</f>
        <v>-47.999999999999</v>
      </c>
      <c r="L367" s="17" t="n">
        <f aca="false">IF(I367=0,0,H367/I367-1)</f>
        <v>-0.00414722654224975</v>
      </c>
      <c r="M367" s="14" t="n">
        <v>1</v>
      </c>
      <c r="N367" s="18" t="n">
        <v>0.047</v>
      </c>
    </row>
    <row r="368" customFormat="false" ht="15" hidden="false" customHeight="false" outlineLevel="0" collapsed="false">
      <c r="A368" s="12" t="s">
        <v>427</v>
      </c>
      <c r="B368" s="13" t="n">
        <v>45771</v>
      </c>
      <c r="C368" s="12" t="str">
        <f aca="false">TEXT(B368,"yyyy-mm")</f>
        <v>2025-04</v>
      </c>
      <c r="D368" s="12" t="s">
        <v>39</v>
      </c>
      <c r="E368" s="12" t="s">
        <v>46</v>
      </c>
      <c r="F368" s="12" t="s">
        <v>47</v>
      </c>
      <c r="G368" s="14" t="n">
        <v>800</v>
      </c>
      <c r="H368" s="15" t="n">
        <v>19.76</v>
      </c>
      <c r="I368" s="15" t="n">
        <v>18.96</v>
      </c>
      <c r="J368" s="16" t="n">
        <f aca="false">G368*H368</f>
        <v>15808</v>
      </c>
      <c r="K368" s="16" t="n">
        <f aca="false">(H368-I368)*G368</f>
        <v>640.000000000001</v>
      </c>
      <c r="L368" s="17" t="n">
        <f aca="false">IF(I368=0,0,H368/I368-1)</f>
        <v>0.0421940928270042</v>
      </c>
      <c r="M368" s="14" t="n">
        <v>1</v>
      </c>
      <c r="N368" s="18" t="n">
        <v>0.009</v>
      </c>
    </row>
    <row r="369" customFormat="false" ht="15" hidden="false" customHeight="false" outlineLevel="0" collapsed="false">
      <c r="A369" s="12" t="s">
        <v>428</v>
      </c>
      <c r="B369" s="13" t="n">
        <v>45772</v>
      </c>
      <c r="C369" s="12" t="str">
        <f aca="false">TEXT(B369,"yyyy-mm")</f>
        <v>2025-04</v>
      </c>
      <c r="D369" s="12" t="s">
        <v>35</v>
      </c>
      <c r="E369" s="12" t="s">
        <v>43</v>
      </c>
      <c r="F369" s="12" t="s">
        <v>44</v>
      </c>
      <c r="G369" s="14" t="n">
        <v>2000</v>
      </c>
      <c r="H369" s="15" t="n">
        <v>16.93</v>
      </c>
      <c r="I369" s="15" t="n">
        <v>16.74</v>
      </c>
      <c r="J369" s="16" t="n">
        <f aca="false">G369*H369</f>
        <v>33860</v>
      </c>
      <c r="K369" s="16" t="n">
        <f aca="false">(H369-I369)*G369</f>
        <v>380.000000000003</v>
      </c>
      <c r="L369" s="17" t="n">
        <f aca="false">IF(I369=0,0,H369/I369-1)</f>
        <v>0.0113500597371565</v>
      </c>
      <c r="M369" s="14" t="n">
        <v>1</v>
      </c>
      <c r="N369" s="18" t="n">
        <v>0.011</v>
      </c>
    </row>
    <row r="370" customFormat="false" ht="15" hidden="false" customHeight="false" outlineLevel="0" collapsed="false">
      <c r="A370" s="12" t="s">
        <v>429</v>
      </c>
      <c r="B370" s="13" t="n">
        <v>45772</v>
      </c>
      <c r="C370" s="12" t="str">
        <f aca="false">TEXT(B370,"yyyy-mm")</f>
        <v>2025-04</v>
      </c>
      <c r="D370" s="12" t="s">
        <v>75</v>
      </c>
      <c r="E370" s="12" t="s">
        <v>76</v>
      </c>
      <c r="F370" s="12" t="s">
        <v>77</v>
      </c>
      <c r="G370" s="14" t="n">
        <v>600</v>
      </c>
      <c r="H370" s="15" t="n">
        <v>26.69</v>
      </c>
      <c r="I370" s="15" t="n">
        <v>25.78</v>
      </c>
      <c r="J370" s="16" t="n">
        <f aca="false">G370*H370</f>
        <v>16014</v>
      </c>
      <c r="K370" s="16" t="n">
        <f aca="false">(H370-I370)*G370</f>
        <v>546</v>
      </c>
      <c r="L370" s="17" t="n">
        <f aca="false">IF(I370=0,0,H370/I370-1)</f>
        <v>0.0352986811481768</v>
      </c>
      <c r="M370" s="14" t="n">
        <v>1</v>
      </c>
      <c r="N370" s="18" t="n">
        <v>0.023</v>
      </c>
    </row>
    <row r="371" customFormat="false" ht="15" hidden="false" customHeight="false" outlineLevel="0" collapsed="false">
      <c r="A371" s="12" t="s">
        <v>430</v>
      </c>
      <c r="B371" s="13" t="n">
        <v>45772</v>
      </c>
      <c r="C371" s="12" t="str">
        <f aca="false">TEXT(B371,"yyyy-mm")</f>
        <v>2025-04</v>
      </c>
      <c r="D371" s="12" t="s">
        <v>53</v>
      </c>
      <c r="E371" s="12" t="s">
        <v>54</v>
      </c>
      <c r="F371" s="12" t="s">
        <v>55</v>
      </c>
      <c r="G371" s="14" t="n">
        <v>600</v>
      </c>
      <c r="H371" s="15" t="n">
        <v>16.72</v>
      </c>
      <c r="I371" s="15" t="n">
        <v>16.57</v>
      </c>
      <c r="J371" s="16" t="n">
        <f aca="false">G371*H371</f>
        <v>10032</v>
      </c>
      <c r="K371" s="16" t="n">
        <f aca="false">(H371-I371)*G371</f>
        <v>89.9999999999992</v>
      </c>
      <c r="L371" s="17" t="n">
        <f aca="false">IF(I371=0,0,H371/I371-1)</f>
        <v>0.00905250452625217</v>
      </c>
      <c r="M371" s="14" t="n">
        <v>1</v>
      </c>
      <c r="N371" s="18" t="n">
        <v>0.019</v>
      </c>
    </row>
    <row r="372" customFormat="false" ht="15" hidden="false" customHeight="false" outlineLevel="0" collapsed="false">
      <c r="A372" s="12" t="s">
        <v>431</v>
      </c>
      <c r="B372" s="13" t="n">
        <v>45772</v>
      </c>
      <c r="C372" s="12" t="str">
        <f aca="false">TEXT(B372,"yyyy-mm")</f>
        <v>2025-04</v>
      </c>
      <c r="D372" s="12" t="s">
        <v>39</v>
      </c>
      <c r="E372" s="12" t="s">
        <v>40</v>
      </c>
      <c r="F372" s="12" t="s">
        <v>41</v>
      </c>
      <c r="G372" s="14" t="n">
        <v>2000</v>
      </c>
      <c r="H372" s="15" t="n">
        <v>19.29</v>
      </c>
      <c r="I372" s="15" t="n">
        <v>19.33</v>
      </c>
      <c r="J372" s="16" t="n">
        <f aca="false">G372*H372</f>
        <v>38580</v>
      </c>
      <c r="K372" s="16" t="n">
        <f aca="false">(H372-I372)*G372</f>
        <v>-79.9999999999983</v>
      </c>
      <c r="L372" s="17" t="n">
        <f aca="false">IF(I372=0,0,H372/I372-1)</f>
        <v>-0.00206932229694767</v>
      </c>
      <c r="M372" s="14" t="n">
        <v>1</v>
      </c>
      <c r="N372" s="18" t="n">
        <v>0.019</v>
      </c>
    </row>
    <row r="373" customFormat="false" ht="15" hidden="false" customHeight="false" outlineLevel="0" collapsed="false">
      <c r="A373" s="12" t="s">
        <v>432</v>
      </c>
      <c r="B373" s="13" t="n">
        <v>45772</v>
      </c>
      <c r="C373" s="12" t="str">
        <f aca="false">TEXT(B373,"yyyy-mm")</f>
        <v>2025-04</v>
      </c>
      <c r="D373" s="12" t="s">
        <v>35</v>
      </c>
      <c r="E373" s="12" t="s">
        <v>36</v>
      </c>
      <c r="F373" s="12" t="s">
        <v>37</v>
      </c>
      <c r="G373" s="14" t="n">
        <v>2000</v>
      </c>
      <c r="H373" s="15" t="n">
        <v>16.26</v>
      </c>
      <c r="I373" s="15" t="n">
        <v>16.9</v>
      </c>
      <c r="J373" s="16" t="n">
        <f aca="false">G373*H373</f>
        <v>32520</v>
      </c>
      <c r="K373" s="16" t="n">
        <f aca="false">(H373-I373)*G373</f>
        <v>-1279.99999999999</v>
      </c>
      <c r="L373" s="17" t="n">
        <f aca="false">IF(I373=0,0,H373/I373-1)</f>
        <v>-0.0378698224852069</v>
      </c>
      <c r="M373" s="14" t="n">
        <v>1</v>
      </c>
      <c r="N373" s="18" t="n">
        <v>0.016</v>
      </c>
    </row>
    <row r="374" customFormat="false" ht="15" hidden="false" customHeight="false" outlineLevel="0" collapsed="false">
      <c r="A374" s="12" t="s">
        <v>433</v>
      </c>
      <c r="B374" s="13" t="n">
        <v>45772</v>
      </c>
      <c r="C374" s="12" t="str">
        <f aca="false">TEXT(B374,"yyyy-mm")</f>
        <v>2025-04</v>
      </c>
      <c r="D374" s="12" t="s">
        <v>53</v>
      </c>
      <c r="E374" s="12" t="s">
        <v>54</v>
      </c>
      <c r="F374" s="12" t="s">
        <v>55</v>
      </c>
      <c r="G374" s="14" t="n">
        <v>1000</v>
      </c>
      <c r="H374" s="15" t="n">
        <v>17.05</v>
      </c>
      <c r="I374" s="15" t="n">
        <v>16.31</v>
      </c>
      <c r="J374" s="16" t="n">
        <f aca="false">G374*H374</f>
        <v>17050</v>
      </c>
      <c r="K374" s="16" t="n">
        <f aca="false">(H374-I374)*G374</f>
        <v>740.000000000002</v>
      </c>
      <c r="L374" s="17" t="n">
        <f aca="false">IF(I374=0,0,H374/I374-1)</f>
        <v>0.0453709380748009</v>
      </c>
      <c r="M374" s="14" t="n">
        <v>0</v>
      </c>
      <c r="N374" s="18" t="n">
        <v>0.017</v>
      </c>
    </row>
    <row r="375" customFormat="false" ht="15" hidden="false" customHeight="false" outlineLevel="0" collapsed="false">
      <c r="A375" s="12" t="s">
        <v>434</v>
      </c>
      <c r="B375" s="13" t="n">
        <v>45772</v>
      </c>
      <c r="C375" s="12" t="str">
        <f aca="false">TEXT(B375,"yyyy-mm")</f>
        <v>2025-04</v>
      </c>
      <c r="D375" s="12" t="s">
        <v>75</v>
      </c>
      <c r="E375" s="12" t="s">
        <v>76</v>
      </c>
      <c r="F375" s="12" t="s">
        <v>77</v>
      </c>
      <c r="G375" s="14" t="n">
        <v>1000</v>
      </c>
      <c r="H375" s="15" t="n">
        <v>26.79</v>
      </c>
      <c r="I375" s="15" t="n">
        <v>25.88</v>
      </c>
      <c r="J375" s="16" t="n">
        <f aca="false">G375*H375</f>
        <v>26790</v>
      </c>
      <c r="K375" s="16" t="n">
        <f aca="false">(H375-I375)*G375</f>
        <v>910</v>
      </c>
      <c r="L375" s="17" t="n">
        <f aca="false">IF(I375=0,0,H375/I375-1)</f>
        <v>0.0351622874806801</v>
      </c>
      <c r="M375" s="14" t="n">
        <v>1</v>
      </c>
      <c r="N375" s="18" t="n">
        <v>0.036</v>
      </c>
    </row>
    <row r="376" customFormat="false" ht="15" hidden="false" customHeight="false" outlineLevel="0" collapsed="false">
      <c r="A376" s="12" t="s">
        <v>435</v>
      </c>
      <c r="B376" s="13" t="n">
        <v>45772</v>
      </c>
      <c r="C376" s="12" t="str">
        <f aca="false">TEXT(B376,"yyyy-mm")</f>
        <v>2025-04</v>
      </c>
      <c r="D376" s="12" t="s">
        <v>39</v>
      </c>
      <c r="E376" s="12" t="s">
        <v>46</v>
      </c>
      <c r="F376" s="12" t="s">
        <v>47</v>
      </c>
      <c r="G376" s="14" t="n">
        <v>600</v>
      </c>
      <c r="H376" s="15" t="n">
        <v>19.77</v>
      </c>
      <c r="I376" s="15" t="n">
        <v>19.27</v>
      </c>
      <c r="J376" s="16" t="n">
        <f aca="false">G376*H376</f>
        <v>11862</v>
      </c>
      <c r="K376" s="16" t="n">
        <f aca="false">(H376-I376)*G376</f>
        <v>300</v>
      </c>
      <c r="L376" s="17" t="n">
        <f aca="false">IF(I376=0,0,H376/I376-1)</f>
        <v>0.0259470679813181</v>
      </c>
      <c r="M376" s="14" t="n">
        <v>1</v>
      </c>
      <c r="N376" s="18" t="n">
        <v>0.007</v>
      </c>
    </row>
    <row r="377" customFormat="false" ht="15" hidden="false" customHeight="false" outlineLevel="0" collapsed="false">
      <c r="A377" s="12" t="s">
        <v>436</v>
      </c>
      <c r="B377" s="13" t="n">
        <v>45773</v>
      </c>
      <c r="C377" s="12" t="str">
        <f aca="false">TEXT(B377,"yyyy-mm")</f>
        <v>2025-04</v>
      </c>
      <c r="D377" s="12" t="s">
        <v>53</v>
      </c>
      <c r="E377" s="12" t="s">
        <v>54</v>
      </c>
      <c r="F377" s="12" t="s">
        <v>55</v>
      </c>
      <c r="G377" s="14" t="n">
        <v>200</v>
      </c>
      <c r="H377" s="15" t="n">
        <v>17.36</v>
      </c>
      <c r="I377" s="15" t="n">
        <v>16.5</v>
      </c>
      <c r="J377" s="16" t="n">
        <f aca="false">G377*H377</f>
        <v>3472</v>
      </c>
      <c r="K377" s="16" t="n">
        <f aca="false">(H377-I377)*G377</f>
        <v>172</v>
      </c>
      <c r="L377" s="17" t="n">
        <f aca="false">IF(I377=0,0,H377/I377-1)</f>
        <v>0.052121212121212</v>
      </c>
      <c r="M377" s="14" t="n">
        <v>1</v>
      </c>
      <c r="N377" s="18" t="n">
        <v>0.019</v>
      </c>
    </row>
    <row r="378" customFormat="false" ht="15" hidden="false" customHeight="false" outlineLevel="0" collapsed="false">
      <c r="A378" s="12" t="s">
        <v>437</v>
      </c>
      <c r="B378" s="13" t="n">
        <v>45773</v>
      </c>
      <c r="C378" s="12" t="str">
        <f aca="false">TEXT(B378,"yyyy-mm")</f>
        <v>2025-04</v>
      </c>
      <c r="D378" s="12" t="s">
        <v>35</v>
      </c>
      <c r="E378" s="12" t="s">
        <v>43</v>
      </c>
      <c r="F378" s="12" t="s">
        <v>44</v>
      </c>
      <c r="G378" s="14" t="n">
        <v>2000</v>
      </c>
      <c r="H378" s="15" t="n">
        <v>16.97</v>
      </c>
      <c r="I378" s="15" t="n">
        <v>16.58</v>
      </c>
      <c r="J378" s="16" t="n">
        <f aca="false">G378*H378</f>
        <v>33940</v>
      </c>
      <c r="K378" s="16" t="n">
        <f aca="false">(H378-I378)*G378</f>
        <v>780.000000000001</v>
      </c>
      <c r="L378" s="17" t="n">
        <f aca="false">IF(I378=0,0,H378/I378-1)</f>
        <v>0.0235223160434259</v>
      </c>
      <c r="M378" s="14" t="n">
        <v>1</v>
      </c>
      <c r="N378" s="18" t="n">
        <v>0.016</v>
      </c>
    </row>
    <row r="379" customFormat="false" ht="15" hidden="false" customHeight="false" outlineLevel="0" collapsed="false">
      <c r="A379" s="12" t="s">
        <v>438</v>
      </c>
      <c r="B379" s="13" t="n">
        <v>45773</v>
      </c>
      <c r="C379" s="12" t="str">
        <f aca="false">TEXT(B379,"yyyy-mm")</f>
        <v>2025-04</v>
      </c>
      <c r="D379" s="12" t="s">
        <v>61</v>
      </c>
      <c r="E379" s="12" t="s">
        <v>36</v>
      </c>
      <c r="F379" s="12" t="s">
        <v>37</v>
      </c>
      <c r="G379" s="14" t="n">
        <v>1200</v>
      </c>
      <c r="H379" s="15" t="n">
        <v>14.98</v>
      </c>
      <c r="I379" s="15" t="n">
        <v>14.83</v>
      </c>
      <c r="J379" s="16" t="n">
        <f aca="false">G379*H379</f>
        <v>17976</v>
      </c>
      <c r="K379" s="16" t="n">
        <f aca="false">(H379-I379)*G379</f>
        <v>180</v>
      </c>
      <c r="L379" s="17" t="n">
        <f aca="false">IF(I379=0,0,H379/I379-1)</f>
        <v>0.0101146325016859</v>
      </c>
      <c r="M379" s="14" t="n">
        <v>1</v>
      </c>
      <c r="N379" s="18" t="n">
        <v>0.016</v>
      </c>
    </row>
    <row r="380" customFormat="false" ht="15" hidden="false" customHeight="false" outlineLevel="0" collapsed="false">
      <c r="A380" s="12" t="s">
        <v>439</v>
      </c>
      <c r="B380" s="13" t="n">
        <v>45774</v>
      </c>
      <c r="C380" s="12" t="str">
        <f aca="false">TEXT(B380,"yyyy-mm")</f>
        <v>2025-04</v>
      </c>
      <c r="D380" s="12" t="s">
        <v>111</v>
      </c>
      <c r="E380" s="12" t="s">
        <v>76</v>
      </c>
      <c r="F380" s="12" t="s">
        <v>77</v>
      </c>
      <c r="G380" s="14" t="n">
        <v>200</v>
      </c>
      <c r="H380" s="15" t="n">
        <v>20.05</v>
      </c>
      <c r="I380" s="15" t="n">
        <v>20.01</v>
      </c>
      <c r="J380" s="16" t="n">
        <f aca="false">G380*H380</f>
        <v>4010</v>
      </c>
      <c r="K380" s="16" t="n">
        <f aca="false">(H380-I380)*G380</f>
        <v>7.99999999999983</v>
      </c>
      <c r="L380" s="17" t="n">
        <f aca="false">IF(I380=0,0,H380/I380-1)</f>
        <v>0.0019990004997501</v>
      </c>
      <c r="M380" s="14" t="n">
        <v>1</v>
      </c>
      <c r="N380" s="18" t="n">
        <v>0.025</v>
      </c>
    </row>
    <row r="381" customFormat="false" ht="15" hidden="false" customHeight="false" outlineLevel="0" collapsed="false">
      <c r="A381" s="12" t="s">
        <v>440</v>
      </c>
      <c r="B381" s="13" t="n">
        <v>45774</v>
      </c>
      <c r="C381" s="12" t="str">
        <f aca="false">TEXT(B381,"yyyy-mm")</f>
        <v>2025-04</v>
      </c>
      <c r="D381" s="12" t="s">
        <v>111</v>
      </c>
      <c r="E381" s="12" t="s">
        <v>92</v>
      </c>
      <c r="F381" s="12" t="s">
        <v>93</v>
      </c>
      <c r="G381" s="14" t="n">
        <v>1000</v>
      </c>
      <c r="H381" s="15" t="n">
        <v>20.31</v>
      </c>
      <c r="I381" s="15" t="n">
        <v>21.03</v>
      </c>
      <c r="J381" s="16" t="n">
        <f aca="false">G381*H381</f>
        <v>20310</v>
      </c>
      <c r="K381" s="16" t="n">
        <f aca="false">(H381-I381)*G381</f>
        <v>-720.000000000002</v>
      </c>
      <c r="L381" s="17" t="n">
        <f aca="false">IF(I381=0,0,H381/I381-1)</f>
        <v>-0.0342368045649074</v>
      </c>
      <c r="M381" s="14" t="n">
        <v>0</v>
      </c>
      <c r="N381" s="18" t="n">
        <v>0.047</v>
      </c>
    </row>
    <row r="382" customFormat="false" ht="15" hidden="false" customHeight="false" outlineLevel="0" collapsed="false">
      <c r="A382" s="12" t="s">
        <v>441</v>
      </c>
      <c r="B382" s="13" t="n">
        <v>45774</v>
      </c>
      <c r="C382" s="12" t="str">
        <f aca="false">TEXT(B382,"yyyy-mm")</f>
        <v>2025-04</v>
      </c>
      <c r="D382" s="12" t="s">
        <v>80</v>
      </c>
      <c r="E382" s="12" t="s">
        <v>92</v>
      </c>
      <c r="F382" s="12" t="s">
        <v>93</v>
      </c>
      <c r="G382" s="14" t="n">
        <v>2000</v>
      </c>
      <c r="H382" s="15" t="n">
        <v>22.33</v>
      </c>
      <c r="I382" s="15" t="n">
        <v>23.45</v>
      </c>
      <c r="J382" s="16" t="n">
        <f aca="false">G382*H382</f>
        <v>44660</v>
      </c>
      <c r="K382" s="16" t="n">
        <f aca="false">(H382-I382)*G382</f>
        <v>-2240</v>
      </c>
      <c r="L382" s="17" t="n">
        <f aca="false">IF(I382=0,0,H382/I382-1)</f>
        <v>-0.0477611940298508</v>
      </c>
      <c r="M382" s="14" t="n">
        <v>1</v>
      </c>
      <c r="N382" s="18" t="n">
        <v>0.045</v>
      </c>
    </row>
    <row r="383" customFormat="false" ht="15" hidden="false" customHeight="false" outlineLevel="0" collapsed="false">
      <c r="A383" s="12" t="s">
        <v>442</v>
      </c>
      <c r="B383" s="13" t="n">
        <v>45774</v>
      </c>
      <c r="C383" s="12" t="str">
        <f aca="false">TEXT(B383,"yyyy-mm")</f>
        <v>2025-04</v>
      </c>
      <c r="D383" s="12" t="s">
        <v>80</v>
      </c>
      <c r="E383" s="12" t="s">
        <v>92</v>
      </c>
      <c r="F383" s="12" t="s">
        <v>93</v>
      </c>
      <c r="G383" s="14" t="n">
        <v>800</v>
      </c>
      <c r="H383" s="15" t="n">
        <v>22.55</v>
      </c>
      <c r="I383" s="15" t="n">
        <v>23.09</v>
      </c>
      <c r="J383" s="16" t="n">
        <f aca="false">G383*H383</f>
        <v>18040</v>
      </c>
      <c r="K383" s="16" t="n">
        <f aca="false">(H383-I383)*G383</f>
        <v>-431.999999999999</v>
      </c>
      <c r="L383" s="17" t="n">
        <f aca="false">IF(I383=0,0,H383/I383-1)</f>
        <v>-0.0233867475097445</v>
      </c>
      <c r="M383" s="14" t="n">
        <v>1</v>
      </c>
      <c r="N383" s="18" t="n">
        <v>0.038</v>
      </c>
    </row>
    <row r="384" customFormat="false" ht="15" hidden="false" customHeight="false" outlineLevel="0" collapsed="false">
      <c r="A384" s="12" t="s">
        <v>443</v>
      </c>
      <c r="B384" s="13" t="n">
        <v>45774</v>
      </c>
      <c r="C384" s="12" t="str">
        <f aca="false">TEXT(B384,"yyyy-mm")</f>
        <v>2025-04</v>
      </c>
      <c r="D384" s="12" t="s">
        <v>80</v>
      </c>
      <c r="E384" s="12" t="s">
        <v>81</v>
      </c>
      <c r="F384" s="12" t="s">
        <v>82</v>
      </c>
      <c r="G384" s="14" t="n">
        <v>2000</v>
      </c>
      <c r="H384" s="15" t="n">
        <v>23.48</v>
      </c>
      <c r="I384" s="15" t="n">
        <v>23.36</v>
      </c>
      <c r="J384" s="16" t="n">
        <f aca="false">G384*H384</f>
        <v>46960</v>
      </c>
      <c r="K384" s="16" t="n">
        <f aca="false">(H384-I384)*G384</f>
        <v>240.000000000002</v>
      </c>
      <c r="L384" s="17" t="n">
        <f aca="false">IF(I384=0,0,H384/I384-1)</f>
        <v>0.00513698630136994</v>
      </c>
      <c r="M384" s="14" t="n">
        <v>1</v>
      </c>
      <c r="N384" s="18" t="n">
        <v>0.023</v>
      </c>
    </row>
    <row r="385" customFormat="false" ht="15" hidden="false" customHeight="false" outlineLevel="0" collapsed="false">
      <c r="A385" s="12" t="s">
        <v>444</v>
      </c>
      <c r="B385" s="13" t="n">
        <v>45775</v>
      </c>
      <c r="C385" s="12" t="str">
        <f aca="false">TEXT(B385,"yyyy-mm")</f>
        <v>2025-04</v>
      </c>
      <c r="D385" s="12" t="s">
        <v>39</v>
      </c>
      <c r="E385" s="12" t="s">
        <v>46</v>
      </c>
      <c r="F385" s="12" t="s">
        <v>47</v>
      </c>
      <c r="G385" s="14" t="n">
        <v>2000</v>
      </c>
      <c r="H385" s="15" t="n">
        <v>20.16</v>
      </c>
      <c r="I385" s="15" t="n">
        <v>19.43</v>
      </c>
      <c r="J385" s="16" t="n">
        <f aca="false">G385*H385</f>
        <v>40320</v>
      </c>
      <c r="K385" s="16" t="n">
        <f aca="false">(H385-I385)*G385</f>
        <v>1460</v>
      </c>
      <c r="L385" s="17" t="n">
        <f aca="false">IF(I385=0,0,H385/I385-1)</f>
        <v>0.0375707668553784</v>
      </c>
      <c r="M385" s="14" t="n">
        <v>1</v>
      </c>
      <c r="N385" s="18" t="n">
        <v>0.004</v>
      </c>
    </row>
    <row r="386" customFormat="false" ht="15" hidden="false" customHeight="false" outlineLevel="0" collapsed="false">
      <c r="A386" s="12" t="s">
        <v>445</v>
      </c>
      <c r="B386" s="13" t="n">
        <v>45775</v>
      </c>
      <c r="C386" s="12" t="str">
        <f aca="false">TEXT(B386,"yyyy-mm")</f>
        <v>2025-04</v>
      </c>
      <c r="D386" s="12" t="s">
        <v>53</v>
      </c>
      <c r="E386" s="12" t="s">
        <v>49</v>
      </c>
      <c r="F386" s="12" t="s">
        <v>50</v>
      </c>
      <c r="G386" s="14" t="n">
        <v>2000</v>
      </c>
      <c r="H386" s="15" t="n">
        <v>16.19</v>
      </c>
      <c r="I386" s="15" t="n">
        <v>16.51</v>
      </c>
      <c r="J386" s="16" t="n">
        <f aca="false">G386*H386</f>
        <v>32380</v>
      </c>
      <c r="K386" s="16" t="n">
        <f aca="false">(H386-I386)*G386</f>
        <v>-640.000000000001</v>
      </c>
      <c r="L386" s="17" t="n">
        <f aca="false">IF(I386=0,0,H386/I386-1)</f>
        <v>-0.0193821926105391</v>
      </c>
      <c r="M386" s="14" t="n">
        <v>1</v>
      </c>
      <c r="N386" s="18" t="n">
        <v>0.043</v>
      </c>
    </row>
    <row r="387" customFormat="false" ht="15" hidden="false" customHeight="false" outlineLevel="0" collapsed="false">
      <c r="A387" s="12" t="s">
        <v>446</v>
      </c>
      <c r="B387" s="13" t="n">
        <v>45776</v>
      </c>
      <c r="C387" s="12" t="str">
        <f aca="false">TEXT(B387,"yyyy-mm")</f>
        <v>2025-04</v>
      </c>
      <c r="D387" s="12" t="s">
        <v>35</v>
      </c>
      <c r="E387" s="12" t="s">
        <v>36</v>
      </c>
      <c r="F387" s="12" t="s">
        <v>37</v>
      </c>
      <c r="G387" s="14" t="n">
        <v>4000</v>
      </c>
      <c r="H387" s="15" t="n">
        <v>17.33</v>
      </c>
      <c r="I387" s="15" t="n">
        <v>16.86</v>
      </c>
      <c r="J387" s="16" t="n">
        <f aca="false">G387*H387</f>
        <v>69320</v>
      </c>
      <c r="K387" s="16" t="n">
        <f aca="false">(H387-I387)*G387</f>
        <v>1880</v>
      </c>
      <c r="L387" s="17" t="n">
        <f aca="false">IF(I387=0,0,H387/I387-1)</f>
        <v>0.027876631079478</v>
      </c>
      <c r="M387" s="14" t="n">
        <v>1</v>
      </c>
      <c r="N387" s="18" t="n">
        <v>0.023</v>
      </c>
    </row>
    <row r="388" customFormat="false" ht="15" hidden="false" customHeight="false" outlineLevel="0" collapsed="false">
      <c r="A388" s="12" t="s">
        <v>447</v>
      </c>
      <c r="B388" s="13" t="n">
        <v>45776</v>
      </c>
      <c r="C388" s="12" t="str">
        <f aca="false">TEXT(B388,"yyyy-mm")</f>
        <v>2025-04</v>
      </c>
      <c r="D388" s="12" t="s">
        <v>111</v>
      </c>
      <c r="E388" s="12" t="s">
        <v>92</v>
      </c>
      <c r="F388" s="12" t="s">
        <v>93</v>
      </c>
      <c r="G388" s="14" t="n">
        <v>1600</v>
      </c>
      <c r="H388" s="15" t="n">
        <v>19.97</v>
      </c>
      <c r="I388" s="15" t="n">
        <v>20.6</v>
      </c>
      <c r="J388" s="16" t="n">
        <f aca="false">G388*H388</f>
        <v>31952</v>
      </c>
      <c r="K388" s="16" t="n">
        <f aca="false">(H388-I388)*G388</f>
        <v>-1008</v>
      </c>
      <c r="L388" s="17" t="n">
        <f aca="false">IF(I388=0,0,H388/I388-1)</f>
        <v>-0.0305825242718448</v>
      </c>
      <c r="M388" s="14" t="n">
        <v>1</v>
      </c>
      <c r="N388" s="18" t="n">
        <v>0.028</v>
      </c>
    </row>
    <row r="389" customFormat="false" ht="15" hidden="false" customHeight="false" outlineLevel="0" collapsed="false">
      <c r="A389" s="12" t="s">
        <v>448</v>
      </c>
      <c r="B389" s="13" t="n">
        <v>45776</v>
      </c>
      <c r="C389" s="12" t="str">
        <f aca="false">TEXT(B389,"yyyy-mm")</f>
        <v>2025-04</v>
      </c>
      <c r="D389" s="12" t="s">
        <v>53</v>
      </c>
      <c r="E389" s="12" t="s">
        <v>54</v>
      </c>
      <c r="F389" s="12" t="s">
        <v>55</v>
      </c>
      <c r="G389" s="14" t="n">
        <v>1000</v>
      </c>
      <c r="H389" s="15" t="n">
        <v>16.45</v>
      </c>
      <c r="I389" s="15" t="n">
        <v>16.31</v>
      </c>
      <c r="J389" s="16" t="n">
        <f aca="false">G389*H389</f>
        <v>16450</v>
      </c>
      <c r="K389" s="16" t="n">
        <f aca="false">(H389-I389)*G389</f>
        <v>140.000000000001</v>
      </c>
      <c r="L389" s="17" t="n">
        <f aca="false">IF(I389=0,0,H389/I389-1)</f>
        <v>0.00858369098712442</v>
      </c>
      <c r="M389" s="14" t="n">
        <v>1</v>
      </c>
      <c r="N389" s="18" t="n">
        <v>0.015</v>
      </c>
    </row>
    <row r="390" customFormat="false" ht="15" hidden="false" customHeight="false" outlineLevel="0" collapsed="false">
      <c r="A390" s="12" t="s">
        <v>449</v>
      </c>
      <c r="B390" s="13" t="n">
        <v>45776</v>
      </c>
      <c r="C390" s="12" t="str">
        <f aca="false">TEXT(B390,"yyyy-mm")</f>
        <v>2025-04</v>
      </c>
      <c r="D390" s="12" t="s">
        <v>61</v>
      </c>
      <c r="E390" s="12" t="s">
        <v>43</v>
      </c>
      <c r="F390" s="12" t="s">
        <v>44</v>
      </c>
      <c r="G390" s="14" t="n">
        <v>200</v>
      </c>
      <c r="H390" s="15" t="n">
        <v>15.88</v>
      </c>
      <c r="I390" s="15" t="n">
        <v>14.91</v>
      </c>
      <c r="J390" s="16" t="n">
        <f aca="false">G390*H390</f>
        <v>3176</v>
      </c>
      <c r="K390" s="16" t="n">
        <f aca="false">(H390-I390)*G390</f>
        <v>194</v>
      </c>
      <c r="L390" s="17" t="n">
        <f aca="false">IF(I390=0,0,H390/I390-1)</f>
        <v>0.0650570087189806</v>
      </c>
      <c r="M390" s="14" t="n">
        <v>1</v>
      </c>
      <c r="N390" s="18" t="n">
        <v>0.015</v>
      </c>
    </row>
    <row r="391" customFormat="false" ht="15" hidden="false" customHeight="false" outlineLevel="0" collapsed="false">
      <c r="A391" s="12" t="s">
        <v>450</v>
      </c>
      <c r="B391" s="13" t="n">
        <v>45776</v>
      </c>
      <c r="C391" s="12" t="str">
        <f aca="false">TEXT(B391,"yyyy-mm")</f>
        <v>2025-04</v>
      </c>
      <c r="D391" s="12" t="s">
        <v>39</v>
      </c>
      <c r="E391" s="12" t="s">
        <v>40</v>
      </c>
      <c r="F391" s="12" t="s">
        <v>41</v>
      </c>
      <c r="G391" s="14" t="n">
        <v>1000</v>
      </c>
      <c r="H391" s="15" t="n">
        <v>19.1</v>
      </c>
      <c r="I391" s="15" t="n">
        <v>19.32</v>
      </c>
      <c r="J391" s="16" t="n">
        <f aca="false">G391*H391</f>
        <v>19100</v>
      </c>
      <c r="K391" s="16" t="n">
        <f aca="false">(H391-I391)*G391</f>
        <v>-219.999999999999</v>
      </c>
      <c r="L391" s="17" t="n">
        <f aca="false">IF(I391=0,0,H391/I391-1)</f>
        <v>-0.0113871635610765</v>
      </c>
      <c r="M391" s="14" t="n">
        <v>1</v>
      </c>
      <c r="N391" s="18" t="n">
        <v>0.02</v>
      </c>
    </row>
    <row r="392" customFormat="false" ht="15" hidden="false" customHeight="false" outlineLevel="0" collapsed="false">
      <c r="A392" s="12" t="s">
        <v>451</v>
      </c>
      <c r="B392" s="13" t="n">
        <v>45776</v>
      </c>
      <c r="C392" s="12" t="str">
        <f aca="false">TEXT(B392,"yyyy-mm")</f>
        <v>2025-04</v>
      </c>
      <c r="D392" s="12" t="s">
        <v>61</v>
      </c>
      <c r="E392" s="12" t="s">
        <v>43</v>
      </c>
      <c r="F392" s="12" t="s">
        <v>44</v>
      </c>
      <c r="G392" s="14" t="n">
        <v>800</v>
      </c>
      <c r="H392" s="15" t="n">
        <v>14.98</v>
      </c>
      <c r="I392" s="15" t="n">
        <v>14.38</v>
      </c>
      <c r="J392" s="16" t="n">
        <f aca="false">G392*H392</f>
        <v>11984</v>
      </c>
      <c r="K392" s="16" t="n">
        <f aca="false">(H392-I392)*G392</f>
        <v>480</v>
      </c>
      <c r="L392" s="17" t="n">
        <f aca="false">IF(I392=0,0,H392/I392-1)</f>
        <v>0.0417246175243393</v>
      </c>
      <c r="M392" s="14" t="n">
        <v>1</v>
      </c>
      <c r="N392" s="18" t="n">
        <v>0.01</v>
      </c>
    </row>
    <row r="393" customFormat="false" ht="15" hidden="false" customHeight="false" outlineLevel="0" collapsed="false">
      <c r="A393" s="12" t="s">
        <v>452</v>
      </c>
      <c r="B393" s="13" t="n">
        <v>45777</v>
      </c>
      <c r="C393" s="12" t="str">
        <f aca="false">TEXT(B393,"yyyy-mm")</f>
        <v>2025-04</v>
      </c>
      <c r="D393" s="12" t="s">
        <v>58</v>
      </c>
      <c r="E393" s="12" t="s">
        <v>40</v>
      </c>
      <c r="F393" s="12" t="s">
        <v>41</v>
      </c>
      <c r="G393" s="14" t="n">
        <v>200</v>
      </c>
      <c r="H393" s="15" t="n">
        <v>34.71</v>
      </c>
      <c r="I393" s="15" t="n">
        <v>35.11</v>
      </c>
      <c r="J393" s="16" t="n">
        <f aca="false">G393*H393</f>
        <v>6942</v>
      </c>
      <c r="K393" s="16" t="n">
        <f aca="false">(H393-I393)*G393</f>
        <v>-79.9999999999997</v>
      </c>
      <c r="L393" s="17" t="n">
        <f aca="false">IF(I393=0,0,H393/I393-1)</f>
        <v>-0.0113927655938478</v>
      </c>
      <c r="M393" s="14" t="n">
        <v>1</v>
      </c>
      <c r="N393" s="18" t="n">
        <v>0.021</v>
      </c>
    </row>
    <row r="394" customFormat="false" ht="15" hidden="false" customHeight="false" outlineLevel="0" collapsed="false">
      <c r="A394" s="12" t="s">
        <v>453</v>
      </c>
      <c r="B394" s="13" t="n">
        <v>45777</v>
      </c>
      <c r="C394" s="12" t="str">
        <f aca="false">TEXT(B394,"yyyy-mm")</f>
        <v>2025-04</v>
      </c>
      <c r="D394" s="12" t="s">
        <v>80</v>
      </c>
      <c r="E394" s="12" t="s">
        <v>81</v>
      </c>
      <c r="F394" s="12" t="s">
        <v>82</v>
      </c>
      <c r="G394" s="14" t="n">
        <v>1600</v>
      </c>
      <c r="H394" s="15" t="n">
        <v>22.07</v>
      </c>
      <c r="I394" s="15" t="n">
        <v>23.36</v>
      </c>
      <c r="J394" s="16" t="n">
        <f aca="false">G394*H394</f>
        <v>35312</v>
      </c>
      <c r="K394" s="16" t="n">
        <f aca="false">(H394-I394)*G394</f>
        <v>-2064</v>
      </c>
      <c r="L394" s="17" t="n">
        <f aca="false">IF(I394=0,0,H394/I394-1)</f>
        <v>-0.055222602739726</v>
      </c>
      <c r="M394" s="14" t="n">
        <v>1</v>
      </c>
      <c r="N394" s="18" t="n">
        <v>0.045</v>
      </c>
    </row>
    <row r="395" customFormat="false" ht="15" hidden="false" customHeight="false" outlineLevel="0" collapsed="false">
      <c r="A395" s="12" t="s">
        <v>454</v>
      </c>
      <c r="B395" s="13" t="n">
        <v>45777</v>
      </c>
      <c r="C395" s="12" t="str">
        <f aca="false">TEXT(B395,"yyyy-mm")</f>
        <v>2025-04</v>
      </c>
      <c r="D395" s="12" t="s">
        <v>39</v>
      </c>
      <c r="E395" s="12" t="s">
        <v>40</v>
      </c>
      <c r="F395" s="12" t="s">
        <v>41</v>
      </c>
      <c r="G395" s="14" t="n">
        <v>600</v>
      </c>
      <c r="H395" s="15" t="n">
        <v>19.59</v>
      </c>
      <c r="I395" s="15" t="n">
        <v>19.13</v>
      </c>
      <c r="J395" s="16" t="n">
        <f aca="false">G395*H395</f>
        <v>11754</v>
      </c>
      <c r="K395" s="16" t="n">
        <f aca="false">(H395-I395)*G395</f>
        <v>276.000000000001</v>
      </c>
      <c r="L395" s="17" t="n">
        <f aca="false">IF(I395=0,0,H395/I395-1)</f>
        <v>0.0240460010454784</v>
      </c>
      <c r="M395" s="14" t="n">
        <v>1</v>
      </c>
      <c r="N395" s="18" t="n">
        <v>0.018</v>
      </c>
    </row>
    <row r="396" customFormat="false" ht="15" hidden="false" customHeight="false" outlineLevel="0" collapsed="false">
      <c r="A396" s="12" t="s">
        <v>455</v>
      </c>
      <c r="B396" s="13" t="n">
        <v>45777</v>
      </c>
      <c r="C396" s="12" t="str">
        <f aca="false">TEXT(B396,"yyyy-mm")</f>
        <v>2025-04</v>
      </c>
      <c r="D396" s="12" t="s">
        <v>80</v>
      </c>
      <c r="E396" s="12" t="s">
        <v>81</v>
      </c>
      <c r="F396" s="12" t="s">
        <v>82</v>
      </c>
      <c r="G396" s="14" t="n">
        <v>600</v>
      </c>
      <c r="H396" s="15" t="n">
        <v>24.04</v>
      </c>
      <c r="I396" s="15" t="n">
        <v>24.16</v>
      </c>
      <c r="J396" s="16" t="n">
        <f aca="false">G396*H396</f>
        <v>14424</v>
      </c>
      <c r="K396" s="16" t="n">
        <f aca="false">(H396-I396)*G396</f>
        <v>-72.0000000000006</v>
      </c>
      <c r="L396" s="17" t="n">
        <f aca="false">IF(I396=0,0,H396/I396-1)</f>
        <v>-0.00496688741721862</v>
      </c>
      <c r="M396" s="14" t="n">
        <v>1</v>
      </c>
      <c r="N396" s="18" t="n">
        <v>0.042</v>
      </c>
    </row>
    <row r="397" customFormat="false" ht="15" hidden="false" customHeight="false" outlineLevel="0" collapsed="false">
      <c r="A397" s="12" t="s">
        <v>456</v>
      </c>
      <c r="B397" s="13" t="n">
        <v>45777</v>
      </c>
      <c r="C397" s="12" t="str">
        <f aca="false">TEXT(B397,"yyyy-mm")</f>
        <v>2025-04</v>
      </c>
      <c r="D397" s="12" t="s">
        <v>35</v>
      </c>
      <c r="E397" s="12" t="s">
        <v>43</v>
      </c>
      <c r="F397" s="12" t="s">
        <v>44</v>
      </c>
      <c r="G397" s="14" t="n">
        <v>400</v>
      </c>
      <c r="H397" s="15" t="n">
        <v>17.26</v>
      </c>
      <c r="I397" s="15" t="n">
        <v>16.36</v>
      </c>
      <c r="J397" s="16" t="n">
        <f aca="false">G397*H397</f>
        <v>6904</v>
      </c>
      <c r="K397" s="16" t="n">
        <f aca="false">(H397-I397)*G397</f>
        <v>360.000000000001</v>
      </c>
      <c r="L397" s="17" t="n">
        <f aca="false">IF(I397=0,0,H397/I397-1)</f>
        <v>0.0550122249388754</v>
      </c>
      <c r="M397" s="14" t="n">
        <v>1</v>
      </c>
      <c r="N397" s="18" t="n">
        <v>0.005</v>
      </c>
    </row>
    <row r="398" customFormat="false" ht="15" hidden="false" customHeight="false" outlineLevel="0" collapsed="false">
      <c r="A398" s="12" t="s">
        <v>457</v>
      </c>
      <c r="B398" s="13" t="n">
        <v>45777</v>
      </c>
      <c r="C398" s="12" t="str">
        <f aca="false">TEXT(B398,"yyyy-mm")</f>
        <v>2025-04</v>
      </c>
      <c r="D398" s="12" t="s">
        <v>75</v>
      </c>
      <c r="E398" s="12" t="s">
        <v>49</v>
      </c>
      <c r="F398" s="12" t="s">
        <v>50</v>
      </c>
      <c r="G398" s="14" t="n">
        <v>800</v>
      </c>
      <c r="H398" s="15" t="n">
        <v>26.09</v>
      </c>
      <c r="I398" s="15" t="n">
        <v>27.27</v>
      </c>
      <c r="J398" s="16" t="n">
        <f aca="false">G398*H398</f>
        <v>20872</v>
      </c>
      <c r="K398" s="16" t="n">
        <f aca="false">(H398-I398)*G398</f>
        <v>-944</v>
      </c>
      <c r="L398" s="17" t="n">
        <f aca="false">IF(I398=0,0,H398/I398-1)</f>
        <v>-0.0432709937660433</v>
      </c>
      <c r="M398" s="14" t="n">
        <v>1</v>
      </c>
      <c r="N398" s="18" t="n">
        <v>0.023</v>
      </c>
    </row>
    <row r="399" customFormat="false" ht="15" hidden="false" customHeight="false" outlineLevel="0" collapsed="false">
      <c r="A399" s="12" t="s">
        <v>458</v>
      </c>
      <c r="B399" s="13" t="n">
        <v>45777</v>
      </c>
      <c r="C399" s="12" t="str">
        <f aca="false">TEXT(B399,"yyyy-mm")</f>
        <v>2025-04</v>
      </c>
      <c r="D399" s="12" t="s">
        <v>53</v>
      </c>
      <c r="E399" s="12" t="s">
        <v>54</v>
      </c>
      <c r="F399" s="12" t="s">
        <v>55</v>
      </c>
      <c r="G399" s="14" t="n">
        <v>600</v>
      </c>
      <c r="H399" s="15" t="n">
        <v>16.66</v>
      </c>
      <c r="I399" s="15" t="n">
        <v>16.02</v>
      </c>
      <c r="J399" s="16" t="n">
        <f aca="false">G399*H399</f>
        <v>9996</v>
      </c>
      <c r="K399" s="16" t="n">
        <f aca="false">(H399-I399)*G399</f>
        <v>384</v>
      </c>
      <c r="L399" s="17" t="n">
        <f aca="false">IF(I399=0,0,H399/I399-1)</f>
        <v>0.0399500624219726</v>
      </c>
      <c r="M399" s="14" t="n">
        <v>1</v>
      </c>
      <c r="N399" s="18" t="n">
        <v>0.015</v>
      </c>
    </row>
    <row r="400" customFormat="false" ht="15" hidden="false" customHeight="false" outlineLevel="0" collapsed="false">
      <c r="A400" s="12" t="s">
        <v>459</v>
      </c>
      <c r="B400" s="13" t="n">
        <v>45777</v>
      </c>
      <c r="C400" s="12" t="str">
        <f aca="false">TEXT(B400,"yyyy-mm")</f>
        <v>2025-04</v>
      </c>
      <c r="D400" s="12" t="s">
        <v>35</v>
      </c>
      <c r="E400" s="12" t="s">
        <v>36</v>
      </c>
      <c r="F400" s="12" t="s">
        <v>37</v>
      </c>
      <c r="G400" s="14" t="n">
        <v>3200</v>
      </c>
      <c r="H400" s="15" t="n">
        <v>16.47</v>
      </c>
      <c r="I400" s="15" t="n">
        <v>17.1</v>
      </c>
      <c r="J400" s="16" t="n">
        <f aca="false">G400*H400</f>
        <v>52704</v>
      </c>
      <c r="K400" s="16" t="n">
        <f aca="false">(H400-I400)*G400</f>
        <v>-2016.00000000001</v>
      </c>
      <c r="L400" s="17" t="n">
        <f aca="false">IF(I400=0,0,H400/I400-1)</f>
        <v>-0.036842105263158</v>
      </c>
      <c r="M400" s="14" t="n">
        <v>1</v>
      </c>
      <c r="N400" s="18" t="n">
        <v>0.025</v>
      </c>
    </row>
    <row r="401" customFormat="false" ht="15" hidden="false" customHeight="false" outlineLevel="0" collapsed="false">
      <c r="A401" s="12" t="s">
        <v>460</v>
      </c>
      <c r="B401" s="13" t="n">
        <v>45778</v>
      </c>
      <c r="C401" s="12" t="str">
        <f aca="false">TEXT(B401,"yyyy-mm")</f>
        <v>2025-05</v>
      </c>
      <c r="D401" s="12" t="s">
        <v>53</v>
      </c>
      <c r="E401" s="12" t="s">
        <v>49</v>
      </c>
      <c r="F401" s="12" t="s">
        <v>50</v>
      </c>
      <c r="G401" s="14" t="n">
        <v>800</v>
      </c>
      <c r="H401" s="15" t="n">
        <v>17.05</v>
      </c>
      <c r="I401" s="15" t="n">
        <v>17.74</v>
      </c>
      <c r="J401" s="16" t="n">
        <f aca="false">G401*H401</f>
        <v>13640</v>
      </c>
      <c r="K401" s="16" t="n">
        <f aca="false">(H401-I401)*G401</f>
        <v>-551.999999999998</v>
      </c>
      <c r="L401" s="17" t="n">
        <f aca="false">IF(I401=0,0,H401/I401-1)</f>
        <v>-0.0388951521984215</v>
      </c>
      <c r="M401" s="14" t="n">
        <v>1</v>
      </c>
      <c r="N401" s="18" t="n">
        <v>0.043</v>
      </c>
    </row>
    <row r="402" customFormat="false" ht="15" hidden="false" customHeight="false" outlineLevel="0" collapsed="false">
      <c r="A402" s="12" t="s">
        <v>461</v>
      </c>
      <c r="B402" s="13" t="n">
        <v>45778</v>
      </c>
      <c r="C402" s="12" t="str">
        <f aca="false">TEXT(B402,"yyyy-mm")</f>
        <v>2025-05</v>
      </c>
      <c r="D402" s="12" t="s">
        <v>61</v>
      </c>
      <c r="E402" s="12" t="s">
        <v>43</v>
      </c>
      <c r="F402" s="12" t="s">
        <v>44</v>
      </c>
      <c r="G402" s="14" t="n">
        <v>1000</v>
      </c>
      <c r="H402" s="15" t="n">
        <v>15.26</v>
      </c>
      <c r="I402" s="15" t="n">
        <v>15.1</v>
      </c>
      <c r="J402" s="16" t="n">
        <f aca="false">G402*H402</f>
        <v>15260</v>
      </c>
      <c r="K402" s="16" t="n">
        <f aca="false">(H402-I402)*G402</f>
        <v>160</v>
      </c>
      <c r="L402" s="17" t="n">
        <f aca="false">IF(I402=0,0,H402/I402-1)</f>
        <v>0.0105960264900662</v>
      </c>
      <c r="M402" s="14" t="n">
        <v>1</v>
      </c>
      <c r="N402" s="18" t="n">
        <v>0.014</v>
      </c>
    </row>
    <row r="403" customFormat="false" ht="15" hidden="false" customHeight="false" outlineLevel="0" collapsed="false">
      <c r="A403" s="12" t="s">
        <v>462</v>
      </c>
      <c r="B403" s="13" t="n">
        <v>45779</v>
      </c>
      <c r="C403" s="12" t="str">
        <f aca="false">TEXT(B403,"yyyy-mm")</f>
        <v>2025-05</v>
      </c>
      <c r="D403" s="12" t="s">
        <v>35</v>
      </c>
      <c r="E403" s="12" t="s">
        <v>36</v>
      </c>
      <c r="F403" s="12" t="s">
        <v>37</v>
      </c>
      <c r="G403" s="14" t="n">
        <v>2400</v>
      </c>
      <c r="H403" s="15" t="n">
        <v>16.72</v>
      </c>
      <c r="I403" s="15" t="n">
        <v>17.4</v>
      </c>
      <c r="J403" s="16" t="n">
        <f aca="false">G403*H403</f>
        <v>40128</v>
      </c>
      <c r="K403" s="16" t="n">
        <f aca="false">(H403-I403)*G403</f>
        <v>-1632</v>
      </c>
      <c r="L403" s="17" t="n">
        <f aca="false">IF(I403=0,0,H403/I403-1)</f>
        <v>-0.039080459770115</v>
      </c>
      <c r="M403" s="14" t="n">
        <v>1</v>
      </c>
      <c r="N403" s="18" t="n">
        <v>0.02</v>
      </c>
    </row>
    <row r="404" customFormat="false" ht="15" hidden="false" customHeight="false" outlineLevel="0" collapsed="false">
      <c r="A404" s="12" t="s">
        <v>463</v>
      </c>
      <c r="B404" s="13" t="n">
        <v>45779</v>
      </c>
      <c r="C404" s="12" t="str">
        <f aca="false">TEXT(B404,"yyyy-mm")</f>
        <v>2025-05</v>
      </c>
      <c r="D404" s="12" t="s">
        <v>53</v>
      </c>
      <c r="E404" s="12" t="s">
        <v>49</v>
      </c>
      <c r="F404" s="12" t="s">
        <v>50</v>
      </c>
      <c r="G404" s="14" t="n">
        <v>1600</v>
      </c>
      <c r="H404" s="15" t="n">
        <v>16.46</v>
      </c>
      <c r="I404" s="15" t="n">
        <v>16.93</v>
      </c>
      <c r="J404" s="16" t="n">
        <f aca="false">G404*H404</f>
        <v>26336</v>
      </c>
      <c r="K404" s="16" t="n">
        <f aca="false">(H404-I404)*G404</f>
        <v>-751.999999999998</v>
      </c>
      <c r="L404" s="17" t="n">
        <f aca="false">IF(I404=0,0,H404/I404-1)</f>
        <v>-0.0277613703484937</v>
      </c>
      <c r="M404" s="14" t="n">
        <v>1</v>
      </c>
      <c r="N404" s="18" t="n">
        <v>0.034</v>
      </c>
    </row>
    <row r="405" customFormat="false" ht="15" hidden="false" customHeight="false" outlineLevel="0" collapsed="false">
      <c r="A405" s="12" t="s">
        <v>464</v>
      </c>
      <c r="B405" s="13" t="n">
        <v>45780</v>
      </c>
      <c r="C405" s="12" t="str">
        <f aca="false">TEXT(B405,"yyyy-mm")</f>
        <v>2025-05</v>
      </c>
      <c r="D405" s="12" t="s">
        <v>75</v>
      </c>
      <c r="E405" s="12" t="s">
        <v>76</v>
      </c>
      <c r="F405" s="12" t="s">
        <v>77</v>
      </c>
      <c r="G405" s="14" t="n">
        <v>800</v>
      </c>
      <c r="H405" s="15" t="n">
        <v>29.37</v>
      </c>
      <c r="I405" s="15" t="n">
        <v>28.74</v>
      </c>
      <c r="J405" s="16" t="n">
        <f aca="false">G405*H405</f>
        <v>23496</v>
      </c>
      <c r="K405" s="16" t="n">
        <f aca="false">(H405-I405)*G405</f>
        <v>504.000000000002</v>
      </c>
      <c r="L405" s="17" t="n">
        <f aca="false">IF(I405=0,0,H405/I405-1)</f>
        <v>0.0219206680584552</v>
      </c>
      <c r="M405" s="14" t="n">
        <v>1</v>
      </c>
      <c r="N405" s="18" t="n">
        <v>0.02</v>
      </c>
    </row>
    <row r="406" customFormat="false" ht="15" hidden="false" customHeight="false" outlineLevel="0" collapsed="false">
      <c r="A406" s="12" t="s">
        <v>465</v>
      </c>
      <c r="B406" s="13" t="n">
        <v>45780</v>
      </c>
      <c r="C406" s="12" t="str">
        <f aca="false">TEXT(B406,"yyyy-mm")</f>
        <v>2025-05</v>
      </c>
      <c r="D406" s="12" t="s">
        <v>75</v>
      </c>
      <c r="E406" s="12" t="s">
        <v>49</v>
      </c>
      <c r="F406" s="12" t="s">
        <v>50</v>
      </c>
      <c r="G406" s="14" t="n">
        <v>1000</v>
      </c>
      <c r="H406" s="15" t="n">
        <v>27.68</v>
      </c>
      <c r="I406" s="15" t="n">
        <v>28.92</v>
      </c>
      <c r="J406" s="16" t="n">
        <f aca="false">G406*H406</f>
        <v>27680</v>
      </c>
      <c r="K406" s="16" t="n">
        <f aca="false">(H406-I406)*G406</f>
        <v>-1240</v>
      </c>
      <c r="L406" s="17" t="n">
        <f aca="false">IF(I406=0,0,H406/I406-1)</f>
        <v>-0.0428769017980637</v>
      </c>
      <c r="M406" s="14" t="n">
        <v>1</v>
      </c>
      <c r="N406" s="18" t="n">
        <v>0.049</v>
      </c>
    </row>
    <row r="407" customFormat="false" ht="15" hidden="false" customHeight="false" outlineLevel="0" collapsed="false">
      <c r="A407" s="12" t="s">
        <v>466</v>
      </c>
      <c r="B407" s="13" t="n">
        <v>45780</v>
      </c>
      <c r="C407" s="12" t="str">
        <f aca="false">TEXT(B407,"yyyy-mm")</f>
        <v>2025-05</v>
      </c>
      <c r="D407" s="12" t="s">
        <v>80</v>
      </c>
      <c r="E407" s="12" t="s">
        <v>81</v>
      </c>
      <c r="F407" s="12" t="s">
        <v>82</v>
      </c>
      <c r="G407" s="14" t="n">
        <v>1200</v>
      </c>
      <c r="H407" s="15" t="n">
        <v>24.28</v>
      </c>
      <c r="I407" s="15" t="n">
        <v>24.5</v>
      </c>
      <c r="J407" s="16" t="n">
        <f aca="false">G407*H407</f>
        <v>29136</v>
      </c>
      <c r="K407" s="16" t="n">
        <f aca="false">(H407-I407)*G407</f>
        <v>-263.999999999999</v>
      </c>
      <c r="L407" s="17" t="n">
        <f aca="false">IF(I407=0,0,H407/I407-1)</f>
        <v>-0.00897959183673469</v>
      </c>
      <c r="M407" s="14" t="n">
        <v>1</v>
      </c>
      <c r="N407" s="18" t="n">
        <v>0.032</v>
      </c>
    </row>
    <row r="408" customFormat="false" ht="15" hidden="false" customHeight="false" outlineLevel="0" collapsed="false">
      <c r="A408" s="12" t="s">
        <v>467</v>
      </c>
      <c r="B408" s="13" t="n">
        <v>45780</v>
      </c>
      <c r="C408" s="12" t="str">
        <f aca="false">TEXT(B408,"yyyy-mm")</f>
        <v>2025-05</v>
      </c>
      <c r="D408" s="12" t="s">
        <v>39</v>
      </c>
      <c r="E408" s="12" t="s">
        <v>46</v>
      </c>
      <c r="F408" s="12" t="s">
        <v>47</v>
      </c>
      <c r="G408" s="14" t="n">
        <v>400</v>
      </c>
      <c r="H408" s="15" t="n">
        <v>21.94</v>
      </c>
      <c r="I408" s="15" t="n">
        <v>20.3</v>
      </c>
      <c r="J408" s="16" t="n">
        <f aca="false">G408*H408</f>
        <v>8776</v>
      </c>
      <c r="K408" s="16" t="n">
        <f aca="false">(H408-I408)*G408</f>
        <v>656</v>
      </c>
      <c r="L408" s="17" t="n">
        <f aca="false">IF(I408=0,0,H408/I408-1)</f>
        <v>0.0807881773399015</v>
      </c>
      <c r="M408" s="14" t="n">
        <v>1</v>
      </c>
      <c r="N408" s="18" t="n">
        <v>0.005</v>
      </c>
    </row>
    <row r="409" customFormat="false" ht="15" hidden="false" customHeight="false" outlineLevel="0" collapsed="false">
      <c r="A409" s="12" t="s">
        <v>468</v>
      </c>
      <c r="B409" s="13" t="n">
        <v>45780</v>
      </c>
      <c r="C409" s="12" t="str">
        <f aca="false">TEXT(B409,"yyyy-mm")</f>
        <v>2025-05</v>
      </c>
      <c r="D409" s="12" t="s">
        <v>53</v>
      </c>
      <c r="E409" s="12" t="s">
        <v>54</v>
      </c>
      <c r="F409" s="12" t="s">
        <v>55</v>
      </c>
      <c r="G409" s="14" t="n">
        <v>400</v>
      </c>
      <c r="H409" s="15" t="n">
        <v>18.19</v>
      </c>
      <c r="I409" s="15" t="n">
        <v>17.68</v>
      </c>
      <c r="J409" s="16" t="n">
        <f aca="false">G409*H409</f>
        <v>7276</v>
      </c>
      <c r="K409" s="16" t="n">
        <f aca="false">(H409-I409)*G409</f>
        <v>204.000000000001</v>
      </c>
      <c r="L409" s="17" t="n">
        <f aca="false">IF(I409=0,0,H409/I409-1)</f>
        <v>0.028846153846154</v>
      </c>
      <c r="M409" s="14" t="n">
        <v>1</v>
      </c>
      <c r="N409" s="18" t="n">
        <v>0.018</v>
      </c>
    </row>
    <row r="410" customFormat="false" ht="15" hidden="false" customHeight="false" outlineLevel="0" collapsed="false">
      <c r="A410" s="12" t="s">
        <v>469</v>
      </c>
      <c r="B410" s="13" t="n">
        <v>45781</v>
      </c>
      <c r="C410" s="12" t="str">
        <f aca="false">TEXT(B410,"yyyy-mm")</f>
        <v>2025-05</v>
      </c>
      <c r="D410" s="12" t="s">
        <v>35</v>
      </c>
      <c r="E410" s="12" t="s">
        <v>43</v>
      </c>
      <c r="F410" s="12" t="s">
        <v>44</v>
      </c>
      <c r="G410" s="14" t="n">
        <v>1200</v>
      </c>
      <c r="H410" s="15" t="n">
        <v>17.24</v>
      </c>
      <c r="I410" s="15" t="n">
        <v>17.16</v>
      </c>
      <c r="J410" s="16" t="n">
        <f aca="false">G410*H410</f>
        <v>20688</v>
      </c>
      <c r="K410" s="16" t="n">
        <f aca="false">(H410-I410)*G410</f>
        <v>95.999999999998</v>
      </c>
      <c r="L410" s="17" t="n">
        <f aca="false">IF(I410=0,0,H410/I410-1)</f>
        <v>0.0046620046620045</v>
      </c>
      <c r="M410" s="14" t="n">
        <v>1</v>
      </c>
      <c r="N410" s="18" t="n">
        <v>0.013</v>
      </c>
    </row>
    <row r="411" customFormat="false" ht="15" hidden="false" customHeight="false" outlineLevel="0" collapsed="false">
      <c r="A411" s="12" t="s">
        <v>470</v>
      </c>
      <c r="B411" s="13" t="n">
        <v>45782</v>
      </c>
      <c r="C411" s="12" t="str">
        <f aca="false">TEXT(B411,"yyyy-mm")</f>
        <v>2025-05</v>
      </c>
      <c r="D411" s="12" t="s">
        <v>75</v>
      </c>
      <c r="E411" s="12" t="s">
        <v>40</v>
      </c>
      <c r="F411" s="12" t="s">
        <v>41</v>
      </c>
      <c r="G411" s="14" t="n">
        <v>800</v>
      </c>
      <c r="H411" s="15" t="n">
        <v>29.28</v>
      </c>
      <c r="I411" s="15" t="n">
        <v>28.5</v>
      </c>
      <c r="J411" s="16" t="n">
        <f aca="false">G411*H411</f>
        <v>23424</v>
      </c>
      <c r="K411" s="16" t="n">
        <f aca="false">(H411-I411)*G411</f>
        <v>624.000000000001</v>
      </c>
      <c r="L411" s="17" t="n">
        <f aca="false">IF(I411=0,0,H411/I411-1)</f>
        <v>0.0273684210526317</v>
      </c>
      <c r="M411" s="14" t="n">
        <v>1</v>
      </c>
      <c r="N411" s="18" t="n">
        <v>0.019</v>
      </c>
    </row>
    <row r="412" customFormat="false" ht="15" hidden="false" customHeight="false" outlineLevel="0" collapsed="false">
      <c r="A412" s="12" t="s">
        <v>471</v>
      </c>
      <c r="B412" s="13" t="n">
        <v>45782</v>
      </c>
      <c r="C412" s="12" t="str">
        <f aca="false">TEXT(B412,"yyyy-mm")</f>
        <v>2025-05</v>
      </c>
      <c r="D412" s="12" t="s">
        <v>39</v>
      </c>
      <c r="E412" s="12" t="s">
        <v>46</v>
      </c>
      <c r="F412" s="12" t="s">
        <v>47</v>
      </c>
      <c r="G412" s="14" t="n">
        <v>200</v>
      </c>
      <c r="H412" s="15" t="n">
        <v>20.4</v>
      </c>
      <c r="I412" s="15" t="n">
        <v>19.69</v>
      </c>
      <c r="J412" s="16" t="n">
        <f aca="false">G412*H412</f>
        <v>4080</v>
      </c>
      <c r="K412" s="16" t="n">
        <f aca="false">(H412-I412)*G412</f>
        <v>141.999999999999</v>
      </c>
      <c r="L412" s="17" t="n">
        <f aca="false">IF(I412=0,0,H412/I412-1)</f>
        <v>0.0360589131538851</v>
      </c>
      <c r="M412" s="14" t="n">
        <v>1</v>
      </c>
      <c r="N412" s="18" t="n">
        <v>0.008</v>
      </c>
    </row>
    <row r="413" customFormat="false" ht="15" hidden="false" customHeight="false" outlineLevel="0" collapsed="false">
      <c r="A413" s="12" t="s">
        <v>472</v>
      </c>
      <c r="B413" s="13" t="n">
        <v>45782</v>
      </c>
      <c r="C413" s="12" t="str">
        <f aca="false">TEXT(B413,"yyyy-mm")</f>
        <v>2025-05</v>
      </c>
      <c r="D413" s="12" t="s">
        <v>58</v>
      </c>
      <c r="E413" s="12" t="s">
        <v>59</v>
      </c>
      <c r="F413" s="12" t="s">
        <v>55</v>
      </c>
      <c r="G413" s="14" t="n">
        <v>1000</v>
      </c>
      <c r="H413" s="15" t="n">
        <v>39.76</v>
      </c>
      <c r="I413" s="15" t="n">
        <v>36.32</v>
      </c>
      <c r="J413" s="16" t="n">
        <f aca="false">G413*H413</f>
        <v>39760</v>
      </c>
      <c r="K413" s="16" t="n">
        <f aca="false">(H413-I413)*G413</f>
        <v>3440</v>
      </c>
      <c r="L413" s="17" t="n">
        <f aca="false">IF(I413=0,0,H413/I413-1)</f>
        <v>0.0947136563876652</v>
      </c>
      <c r="M413" s="14" t="n">
        <v>1</v>
      </c>
      <c r="N413" s="18" t="n">
        <v>0.014</v>
      </c>
    </row>
    <row r="414" customFormat="false" ht="15" hidden="false" customHeight="false" outlineLevel="0" collapsed="false">
      <c r="A414" s="12" t="s">
        <v>473</v>
      </c>
      <c r="B414" s="13" t="n">
        <v>45783</v>
      </c>
      <c r="C414" s="12" t="str">
        <f aca="false">TEXT(B414,"yyyy-mm")</f>
        <v>2025-05</v>
      </c>
      <c r="D414" s="12" t="s">
        <v>80</v>
      </c>
      <c r="E414" s="12" t="s">
        <v>92</v>
      </c>
      <c r="F414" s="12" t="s">
        <v>93</v>
      </c>
      <c r="G414" s="14" t="n">
        <v>1200</v>
      </c>
      <c r="H414" s="15" t="n">
        <v>22.82</v>
      </c>
      <c r="I414" s="15" t="n">
        <v>24.96</v>
      </c>
      <c r="J414" s="16" t="n">
        <f aca="false">G414*H414</f>
        <v>27384</v>
      </c>
      <c r="K414" s="16" t="n">
        <f aca="false">(H414-I414)*G414</f>
        <v>-2568</v>
      </c>
      <c r="L414" s="17" t="n">
        <f aca="false">IF(I414=0,0,H414/I414-1)</f>
        <v>-0.0857371794871795</v>
      </c>
      <c r="M414" s="14" t="n">
        <v>1</v>
      </c>
      <c r="N414" s="18" t="n">
        <v>0.077</v>
      </c>
    </row>
    <row r="415" customFormat="false" ht="15" hidden="false" customHeight="false" outlineLevel="0" collapsed="false">
      <c r="A415" s="12" t="s">
        <v>474</v>
      </c>
      <c r="B415" s="13" t="n">
        <v>45783</v>
      </c>
      <c r="C415" s="12" t="str">
        <f aca="false">TEXT(B415,"yyyy-mm")</f>
        <v>2025-05</v>
      </c>
      <c r="D415" s="12" t="s">
        <v>75</v>
      </c>
      <c r="E415" s="12" t="s">
        <v>49</v>
      </c>
      <c r="F415" s="12" t="s">
        <v>50</v>
      </c>
      <c r="G415" s="14" t="n">
        <v>1600</v>
      </c>
      <c r="H415" s="15" t="n">
        <v>27.45</v>
      </c>
      <c r="I415" s="15" t="n">
        <v>28.52</v>
      </c>
      <c r="J415" s="16" t="n">
        <f aca="false">G415*H415</f>
        <v>43920</v>
      </c>
      <c r="K415" s="16" t="n">
        <f aca="false">(H415-I415)*G415</f>
        <v>-1712</v>
      </c>
      <c r="L415" s="17" t="n">
        <f aca="false">IF(I415=0,0,H415/I415-1)</f>
        <v>-0.0375175315568023</v>
      </c>
      <c r="M415" s="14" t="n">
        <v>1</v>
      </c>
      <c r="N415" s="18" t="n">
        <v>0.034</v>
      </c>
    </row>
    <row r="416" customFormat="false" ht="15" hidden="false" customHeight="false" outlineLevel="0" collapsed="false">
      <c r="A416" s="12" t="s">
        <v>475</v>
      </c>
      <c r="B416" s="13" t="n">
        <v>45784</v>
      </c>
      <c r="C416" s="12" t="str">
        <f aca="false">TEXT(B416,"yyyy-mm")</f>
        <v>2025-05</v>
      </c>
      <c r="D416" s="12" t="s">
        <v>53</v>
      </c>
      <c r="E416" s="12" t="s">
        <v>54</v>
      </c>
      <c r="F416" s="12" t="s">
        <v>55</v>
      </c>
      <c r="G416" s="14" t="n">
        <v>2000</v>
      </c>
      <c r="H416" s="15" t="n">
        <v>17.75</v>
      </c>
      <c r="I416" s="15" t="n">
        <v>17.14</v>
      </c>
      <c r="J416" s="16" t="n">
        <f aca="false">G416*H416</f>
        <v>35500</v>
      </c>
      <c r="K416" s="16" t="n">
        <f aca="false">(H416-I416)*G416</f>
        <v>1220</v>
      </c>
      <c r="L416" s="17" t="n">
        <f aca="false">IF(I416=0,0,H416/I416-1)</f>
        <v>0.0355892648774796</v>
      </c>
      <c r="M416" s="14" t="n">
        <v>1</v>
      </c>
      <c r="N416" s="18" t="n">
        <v>0.022</v>
      </c>
    </row>
    <row r="417" customFormat="false" ht="15" hidden="false" customHeight="false" outlineLevel="0" collapsed="false">
      <c r="A417" s="12" t="s">
        <v>476</v>
      </c>
      <c r="B417" s="13" t="n">
        <v>45784</v>
      </c>
      <c r="C417" s="12" t="str">
        <f aca="false">TEXT(B417,"yyyy-mm")</f>
        <v>2025-05</v>
      </c>
      <c r="D417" s="12" t="s">
        <v>53</v>
      </c>
      <c r="E417" s="12" t="s">
        <v>54</v>
      </c>
      <c r="F417" s="12" t="s">
        <v>55</v>
      </c>
      <c r="G417" s="14" t="n">
        <v>800</v>
      </c>
      <c r="H417" s="15" t="n">
        <v>18.56</v>
      </c>
      <c r="I417" s="15" t="n">
        <v>17.72</v>
      </c>
      <c r="J417" s="16" t="n">
        <f aca="false">G417*H417</f>
        <v>14848</v>
      </c>
      <c r="K417" s="16" t="n">
        <f aca="false">(H417-I417)*G417</f>
        <v>672</v>
      </c>
      <c r="L417" s="17" t="n">
        <f aca="false">IF(I417=0,0,H417/I417-1)</f>
        <v>0.0474040632054176</v>
      </c>
      <c r="M417" s="14" t="n">
        <v>1</v>
      </c>
      <c r="N417" s="18" t="n">
        <v>0.018</v>
      </c>
    </row>
    <row r="418" customFormat="false" ht="15" hidden="false" customHeight="false" outlineLevel="0" collapsed="false">
      <c r="A418" s="12" t="s">
        <v>477</v>
      </c>
      <c r="B418" s="13" t="n">
        <v>45784</v>
      </c>
      <c r="C418" s="12" t="str">
        <f aca="false">TEXT(B418,"yyyy-mm")</f>
        <v>2025-05</v>
      </c>
      <c r="D418" s="12" t="s">
        <v>111</v>
      </c>
      <c r="E418" s="12" t="s">
        <v>92</v>
      </c>
      <c r="F418" s="12" t="s">
        <v>93</v>
      </c>
      <c r="G418" s="14" t="n">
        <v>200</v>
      </c>
      <c r="H418" s="15" t="n">
        <v>20.52</v>
      </c>
      <c r="I418" s="15" t="n">
        <v>21.66</v>
      </c>
      <c r="J418" s="16" t="n">
        <f aca="false">G418*H418</f>
        <v>4104</v>
      </c>
      <c r="K418" s="16" t="n">
        <f aca="false">(H418-I418)*G418</f>
        <v>-228</v>
      </c>
      <c r="L418" s="17" t="n">
        <f aca="false">IF(I418=0,0,H418/I418-1)</f>
        <v>-0.0526315789473685</v>
      </c>
      <c r="M418" s="14" t="n">
        <v>1</v>
      </c>
      <c r="N418" s="18" t="n">
        <v>0.032</v>
      </c>
    </row>
    <row r="419" customFormat="false" ht="15" hidden="false" customHeight="false" outlineLevel="0" collapsed="false">
      <c r="A419" s="12" t="s">
        <v>478</v>
      </c>
      <c r="B419" s="13" t="n">
        <v>45784</v>
      </c>
      <c r="C419" s="12" t="str">
        <f aca="false">TEXT(B419,"yyyy-mm")</f>
        <v>2025-05</v>
      </c>
      <c r="D419" s="12" t="s">
        <v>39</v>
      </c>
      <c r="E419" s="12" t="s">
        <v>46</v>
      </c>
      <c r="F419" s="12" t="s">
        <v>47</v>
      </c>
      <c r="G419" s="14" t="n">
        <v>1000</v>
      </c>
      <c r="H419" s="15" t="n">
        <v>21.44</v>
      </c>
      <c r="I419" s="15" t="n">
        <v>19.78</v>
      </c>
      <c r="J419" s="16" t="n">
        <f aca="false">G419*H419</f>
        <v>21440</v>
      </c>
      <c r="K419" s="16" t="n">
        <f aca="false">(H419-I419)*G419</f>
        <v>1660</v>
      </c>
      <c r="L419" s="17" t="n">
        <f aca="false">IF(I419=0,0,H419/I419-1)</f>
        <v>0.083923154701719</v>
      </c>
      <c r="M419" s="14" t="n">
        <v>1</v>
      </c>
      <c r="N419" s="18" t="n">
        <v>0.006</v>
      </c>
    </row>
    <row r="420" customFormat="false" ht="15" hidden="false" customHeight="false" outlineLevel="0" collapsed="false">
      <c r="A420" s="12" t="s">
        <v>479</v>
      </c>
      <c r="B420" s="13" t="n">
        <v>45785</v>
      </c>
      <c r="C420" s="12" t="str">
        <f aca="false">TEXT(B420,"yyyy-mm")</f>
        <v>2025-05</v>
      </c>
      <c r="D420" s="12" t="s">
        <v>80</v>
      </c>
      <c r="E420" s="12" t="s">
        <v>92</v>
      </c>
      <c r="F420" s="12" t="s">
        <v>93</v>
      </c>
      <c r="G420" s="14" t="n">
        <v>400</v>
      </c>
      <c r="H420" s="15" t="n">
        <v>22.16</v>
      </c>
      <c r="I420" s="15" t="n">
        <v>24.23</v>
      </c>
      <c r="J420" s="16" t="n">
        <f aca="false">G420*H420</f>
        <v>8864</v>
      </c>
      <c r="K420" s="16" t="n">
        <f aca="false">(H420-I420)*G420</f>
        <v>-828</v>
      </c>
      <c r="L420" s="17" t="n">
        <f aca="false">IF(I420=0,0,H420/I420-1)</f>
        <v>-0.0854312835328106</v>
      </c>
      <c r="M420" s="14" t="n">
        <v>1</v>
      </c>
      <c r="N420" s="18" t="n">
        <v>0.043</v>
      </c>
    </row>
    <row r="421" customFormat="false" ht="15" hidden="false" customHeight="false" outlineLevel="0" collapsed="false">
      <c r="A421" s="12" t="s">
        <v>480</v>
      </c>
      <c r="B421" s="13" t="n">
        <v>45785</v>
      </c>
      <c r="C421" s="12" t="str">
        <f aca="false">TEXT(B421,"yyyy-mm")</f>
        <v>2025-05</v>
      </c>
      <c r="D421" s="12" t="s">
        <v>53</v>
      </c>
      <c r="E421" s="12" t="s">
        <v>49</v>
      </c>
      <c r="F421" s="12" t="s">
        <v>50</v>
      </c>
      <c r="G421" s="14" t="n">
        <v>1000</v>
      </c>
      <c r="H421" s="15" t="n">
        <v>16.39</v>
      </c>
      <c r="I421" s="15" t="n">
        <v>17.24</v>
      </c>
      <c r="J421" s="16" t="n">
        <f aca="false">G421*H421</f>
        <v>16390</v>
      </c>
      <c r="K421" s="16" t="n">
        <f aca="false">(H421-I421)*G421</f>
        <v>-849.999999999998</v>
      </c>
      <c r="L421" s="17" t="n">
        <f aca="false">IF(I421=0,0,H421/I421-1)</f>
        <v>-0.0493039443155451</v>
      </c>
      <c r="M421" s="14" t="n">
        <v>1</v>
      </c>
      <c r="N421" s="18" t="n">
        <v>0.029</v>
      </c>
    </row>
    <row r="422" customFormat="false" ht="15" hidden="false" customHeight="false" outlineLevel="0" collapsed="false">
      <c r="A422" s="12" t="s">
        <v>481</v>
      </c>
      <c r="B422" s="13" t="n">
        <v>45785</v>
      </c>
      <c r="C422" s="12" t="str">
        <f aca="false">TEXT(B422,"yyyy-mm")</f>
        <v>2025-05</v>
      </c>
      <c r="D422" s="12" t="s">
        <v>39</v>
      </c>
      <c r="E422" s="12" t="s">
        <v>40</v>
      </c>
      <c r="F422" s="12" t="s">
        <v>41</v>
      </c>
      <c r="G422" s="14" t="n">
        <v>200</v>
      </c>
      <c r="H422" s="15" t="n">
        <v>20.87</v>
      </c>
      <c r="I422" s="15" t="n">
        <v>20.33</v>
      </c>
      <c r="J422" s="16" t="n">
        <f aca="false">G422*H422</f>
        <v>4174</v>
      </c>
      <c r="K422" s="16" t="n">
        <f aca="false">(H422-I422)*G422</f>
        <v>108.000000000001</v>
      </c>
      <c r="L422" s="17" t="n">
        <f aca="false">IF(I422=0,0,H422/I422-1)</f>
        <v>0.0265617314313824</v>
      </c>
      <c r="M422" s="14" t="n">
        <v>1</v>
      </c>
      <c r="N422" s="18" t="n">
        <v>0.017</v>
      </c>
    </row>
    <row r="423" customFormat="false" ht="15" hidden="false" customHeight="false" outlineLevel="0" collapsed="false">
      <c r="A423" s="12" t="s">
        <v>482</v>
      </c>
      <c r="B423" s="13" t="n">
        <v>45785</v>
      </c>
      <c r="C423" s="12" t="str">
        <f aca="false">TEXT(B423,"yyyy-mm")</f>
        <v>2025-05</v>
      </c>
      <c r="D423" s="12" t="s">
        <v>39</v>
      </c>
      <c r="E423" s="12" t="s">
        <v>46</v>
      </c>
      <c r="F423" s="12" t="s">
        <v>47</v>
      </c>
      <c r="G423" s="14" t="n">
        <v>200</v>
      </c>
      <c r="H423" s="15" t="n">
        <v>19.89</v>
      </c>
      <c r="I423" s="15" t="n">
        <v>19.36</v>
      </c>
      <c r="J423" s="16" t="n">
        <f aca="false">G423*H423</f>
        <v>3978</v>
      </c>
      <c r="K423" s="16" t="n">
        <f aca="false">(H423-I423)*G423</f>
        <v>106</v>
      </c>
      <c r="L423" s="17" t="n">
        <f aca="false">IF(I423=0,0,H423/I423-1)</f>
        <v>0.0273760330578512</v>
      </c>
      <c r="M423" s="14" t="n">
        <v>1</v>
      </c>
      <c r="N423" s="18" t="n">
        <v>0.011</v>
      </c>
    </row>
    <row r="424" customFormat="false" ht="15" hidden="false" customHeight="false" outlineLevel="0" collapsed="false">
      <c r="A424" s="12" t="s">
        <v>483</v>
      </c>
      <c r="B424" s="13" t="n">
        <v>45785</v>
      </c>
      <c r="C424" s="12" t="str">
        <f aca="false">TEXT(B424,"yyyy-mm")</f>
        <v>2025-05</v>
      </c>
      <c r="D424" s="12" t="s">
        <v>53</v>
      </c>
      <c r="E424" s="12" t="s">
        <v>54</v>
      </c>
      <c r="F424" s="12" t="s">
        <v>55</v>
      </c>
      <c r="G424" s="14" t="n">
        <v>2000</v>
      </c>
      <c r="H424" s="15" t="n">
        <v>17.41</v>
      </c>
      <c r="I424" s="15" t="n">
        <v>16.98</v>
      </c>
      <c r="J424" s="16" t="n">
        <f aca="false">G424*H424</f>
        <v>34820</v>
      </c>
      <c r="K424" s="16" t="n">
        <f aca="false">(H424-I424)*G424</f>
        <v>859.999999999999</v>
      </c>
      <c r="L424" s="17" t="n">
        <f aca="false">IF(I424=0,0,H424/I424-1)</f>
        <v>0.025323910482921</v>
      </c>
      <c r="M424" s="14" t="n">
        <v>1</v>
      </c>
      <c r="N424" s="18" t="n">
        <v>0.017</v>
      </c>
    </row>
    <row r="425" customFormat="false" ht="15" hidden="false" customHeight="false" outlineLevel="0" collapsed="false">
      <c r="A425" s="12" t="s">
        <v>484</v>
      </c>
      <c r="B425" s="13" t="n">
        <v>45786</v>
      </c>
      <c r="C425" s="12" t="str">
        <f aca="false">TEXT(B425,"yyyy-mm")</f>
        <v>2025-05</v>
      </c>
      <c r="D425" s="12" t="s">
        <v>53</v>
      </c>
      <c r="E425" s="12" t="s">
        <v>54</v>
      </c>
      <c r="F425" s="12" t="s">
        <v>55</v>
      </c>
      <c r="G425" s="14" t="n">
        <v>800</v>
      </c>
      <c r="H425" s="15" t="n">
        <v>16.59</v>
      </c>
      <c r="I425" s="15" t="n">
        <v>16.75</v>
      </c>
      <c r="J425" s="16" t="n">
        <f aca="false">G425*H425</f>
        <v>13272</v>
      </c>
      <c r="K425" s="16" t="n">
        <f aca="false">(H425-I425)*G425</f>
        <v>-128</v>
      </c>
      <c r="L425" s="17" t="n">
        <f aca="false">IF(I425=0,0,H425/I425-1)</f>
        <v>-0.00955223880597012</v>
      </c>
      <c r="M425" s="14" t="n">
        <v>1</v>
      </c>
      <c r="N425" s="18" t="n">
        <v>0.014</v>
      </c>
    </row>
    <row r="426" customFormat="false" ht="15" hidden="false" customHeight="false" outlineLevel="0" collapsed="false">
      <c r="A426" s="12" t="s">
        <v>485</v>
      </c>
      <c r="B426" s="13" t="n">
        <v>45786</v>
      </c>
      <c r="C426" s="12" t="str">
        <f aca="false">TEXT(B426,"yyyy-mm")</f>
        <v>2025-05</v>
      </c>
      <c r="D426" s="12" t="s">
        <v>39</v>
      </c>
      <c r="E426" s="12" t="s">
        <v>49</v>
      </c>
      <c r="F426" s="12" t="s">
        <v>50</v>
      </c>
      <c r="G426" s="14" t="n">
        <v>1600</v>
      </c>
      <c r="H426" s="15" t="n">
        <v>20.11</v>
      </c>
      <c r="I426" s="15" t="n">
        <v>20.17</v>
      </c>
      <c r="J426" s="16" t="n">
        <f aca="false">G426*H426</f>
        <v>32176</v>
      </c>
      <c r="K426" s="16" t="n">
        <f aca="false">(H426-I426)*G426</f>
        <v>-96.0000000000036</v>
      </c>
      <c r="L426" s="17" t="n">
        <f aca="false">IF(I426=0,0,H426/I426-1)</f>
        <v>-0.00297471492315327</v>
      </c>
      <c r="M426" s="14" t="n">
        <v>1</v>
      </c>
      <c r="N426" s="18" t="n">
        <v>0.05</v>
      </c>
    </row>
    <row r="427" customFormat="false" ht="15" hidden="false" customHeight="false" outlineLevel="0" collapsed="false">
      <c r="A427" s="12" t="s">
        <v>486</v>
      </c>
      <c r="B427" s="13" t="n">
        <v>45786</v>
      </c>
      <c r="C427" s="12" t="str">
        <f aca="false">TEXT(B427,"yyyy-mm")</f>
        <v>2025-05</v>
      </c>
      <c r="D427" s="12" t="s">
        <v>39</v>
      </c>
      <c r="E427" s="12" t="s">
        <v>40</v>
      </c>
      <c r="F427" s="12" t="s">
        <v>41</v>
      </c>
      <c r="G427" s="14" t="n">
        <v>2000</v>
      </c>
      <c r="H427" s="15" t="n">
        <v>20.38</v>
      </c>
      <c r="I427" s="15" t="n">
        <v>20.2</v>
      </c>
      <c r="J427" s="16" t="n">
        <f aca="false">G427*H427</f>
        <v>40760</v>
      </c>
      <c r="K427" s="16" t="n">
        <f aca="false">(H427-I427)*G427</f>
        <v>359.999999999999</v>
      </c>
      <c r="L427" s="17" t="n">
        <f aca="false">IF(I427=0,0,H427/I427-1)</f>
        <v>0.00891089108910892</v>
      </c>
      <c r="M427" s="14" t="n">
        <v>1</v>
      </c>
      <c r="N427" s="18" t="n">
        <v>0.019</v>
      </c>
    </row>
    <row r="428" customFormat="false" ht="15" hidden="false" customHeight="false" outlineLevel="0" collapsed="false">
      <c r="A428" s="12" t="s">
        <v>487</v>
      </c>
      <c r="B428" s="13" t="n">
        <v>45787</v>
      </c>
      <c r="C428" s="12" t="str">
        <f aca="false">TEXT(B428,"yyyy-mm")</f>
        <v>2025-05</v>
      </c>
      <c r="D428" s="12" t="s">
        <v>111</v>
      </c>
      <c r="E428" s="12" t="s">
        <v>92</v>
      </c>
      <c r="F428" s="12" t="s">
        <v>93</v>
      </c>
      <c r="G428" s="14" t="n">
        <v>400</v>
      </c>
      <c r="H428" s="15" t="n">
        <v>20.15</v>
      </c>
      <c r="I428" s="15" t="n">
        <v>21.49</v>
      </c>
      <c r="J428" s="16" t="n">
        <f aca="false">G428*H428</f>
        <v>8060</v>
      </c>
      <c r="K428" s="16" t="n">
        <f aca="false">(H428-I428)*G428</f>
        <v>-536</v>
      </c>
      <c r="L428" s="17" t="n">
        <f aca="false">IF(I428=0,0,H428/I428-1)</f>
        <v>-0.062354583527222</v>
      </c>
      <c r="M428" s="14" t="n">
        <v>1</v>
      </c>
      <c r="N428" s="18" t="n">
        <v>0.046</v>
      </c>
    </row>
    <row r="429" customFormat="false" ht="15" hidden="false" customHeight="false" outlineLevel="0" collapsed="false">
      <c r="A429" s="12" t="s">
        <v>488</v>
      </c>
      <c r="B429" s="13" t="n">
        <v>45787</v>
      </c>
      <c r="C429" s="12" t="str">
        <f aca="false">TEXT(B429,"yyyy-mm")</f>
        <v>2025-05</v>
      </c>
      <c r="D429" s="12" t="s">
        <v>39</v>
      </c>
      <c r="E429" s="12" t="s">
        <v>46</v>
      </c>
      <c r="F429" s="12" t="s">
        <v>47</v>
      </c>
      <c r="G429" s="14" t="n">
        <v>400</v>
      </c>
      <c r="H429" s="15" t="n">
        <v>21.39</v>
      </c>
      <c r="I429" s="15" t="n">
        <v>19.95</v>
      </c>
      <c r="J429" s="16" t="n">
        <f aca="false">G429*H429</f>
        <v>8556</v>
      </c>
      <c r="K429" s="16" t="n">
        <f aca="false">(H429-I429)*G429</f>
        <v>576.000000000001</v>
      </c>
      <c r="L429" s="17" t="n">
        <f aca="false">IF(I429=0,0,H429/I429-1)</f>
        <v>0.0721804511278197</v>
      </c>
      <c r="M429" s="14" t="n">
        <v>1</v>
      </c>
      <c r="N429" s="18" t="n">
        <v>0.01</v>
      </c>
    </row>
    <row r="430" customFormat="false" ht="15" hidden="false" customHeight="false" outlineLevel="0" collapsed="false">
      <c r="A430" s="12" t="s">
        <v>489</v>
      </c>
      <c r="B430" s="13" t="n">
        <v>45788</v>
      </c>
      <c r="C430" s="12" t="str">
        <f aca="false">TEXT(B430,"yyyy-mm")</f>
        <v>2025-05</v>
      </c>
      <c r="D430" s="12" t="s">
        <v>53</v>
      </c>
      <c r="E430" s="12" t="s">
        <v>49</v>
      </c>
      <c r="F430" s="12" t="s">
        <v>50</v>
      </c>
      <c r="G430" s="14" t="n">
        <v>1600</v>
      </c>
      <c r="H430" s="15" t="n">
        <v>16.48</v>
      </c>
      <c r="I430" s="15" t="n">
        <v>17.32</v>
      </c>
      <c r="J430" s="16" t="n">
        <f aca="false">G430*H430</f>
        <v>26368</v>
      </c>
      <c r="K430" s="16" t="n">
        <f aca="false">(H430-I430)*G430</f>
        <v>-1344</v>
      </c>
      <c r="L430" s="17" t="n">
        <f aca="false">IF(I430=0,0,H430/I430-1)</f>
        <v>-0.0484988452655889</v>
      </c>
      <c r="M430" s="14" t="n">
        <v>1</v>
      </c>
      <c r="N430" s="18" t="n">
        <v>0.026</v>
      </c>
    </row>
    <row r="431" customFormat="false" ht="15" hidden="false" customHeight="false" outlineLevel="0" collapsed="false">
      <c r="A431" s="12" t="s">
        <v>490</v>
      </c>
      <c r="B431" s="13" t="n">
        <v>45788</v>
      </c>
      <c r="C431" s="12" t="str">
        <f aca="false">TEXT(B431,"yyyy-mm")</f>
        <v>2025-05</v>
      </c>
      <c r="D431" s="12" t="s">
        <v>53</v>
      </c>
      <c r="E431" s="12" t="s">
        <v>54</v>
      </c>
      <c r="F431" s="12" t="s">
        <v>55</v>
      </c>
      <c r="G431" s="14" t="n">
        <v>600</v>
      </c>
      <c r="H431" s="15" t="n">
        <v>17.3</v>
      </c>
      <c r="I431" s="15" t="n">
        <v>17.28</v>
      </c>
      <c r="J431" s="16" t="n">
        <f aca="false">G431*H431</f>
        <v>10380</v>
      </c>
      <c r="K431" s="16" t="n">
        <f aca="false">(H431-I431)*G431</f>
        <v>11.9999999999997</v>
      </c>
      <c r="L431" s="17" t="n">
        <f aca="false">IF(I431=0,0,H431/I431-1)</f>
        <v>0.00115740740740744</v>
      </c>
      <c r="M431" s="14" t="n">
        <v>1</v>
      </c>
      <c r="N431" s="18" t="n">
        <v>0.011</v>
      </c>
    </row>
    <row r="432" customFormat="false" ht="15" hidden="false" customHeight="false" outlineLevel="0" collapsed="false">
      <c r="A432" s="12" t="s">
        <v>491</v>
      </c>
      <c r="B432" s="13" t="n">
        <v>45789</v>
      </c>
      <c r="C432" s="12" t="str">
        <f aca="false">TEXT(B432,"yyyy-mm")</f>
        <v>2025-05</v>
      </c>
      <c r="D432" s="12" t="s">
        <v>39</v>
      </c>
      <c r="E432" s="12" t="s">
        <v>40</v>
      </c>
      <c r="F432" s="12" t="s">
        <v>41</v>
      </c>
      <c r="G432" s="14" t="n">
        <v>200</v>
      </c>
      <c r="H432" s="15" t="n">
        <v>21.26</v>
      </c>
      <c r="I432" s="15" t="n">
        <v>20.41</v>
      </c>
      <c r="J432" s="16" t="n">
        <f aca="false">G432*H432</f>
        <v>4252</v>
      </c>
      <c r="K432" s="16" t="n">
        <f aca="false">(H432-I432)*G432</f>
        <v>170</v>
      </c>
      <c r="L432" s="17" t="n">
        <f aca="false">IF(I432=0,0,H432/I432-1)</f>
        <v>0.0416462518373346</v>
      </c>
      <c r="M432" s="14" t="n">
        <v>1</v>
      </c>
      <c r="N432" s="18" t="n">
        <v>0.016</v>
      </c>
    </row>
    <row r="433" customFormat="false" ht="15" hidden="false" customHeight="false" outlineLevel="0" collapsed="false">
      <c r="A433" s="12" t="s">
        <v>492</v>
      </c>
      <c r="B433" s="13" t="n">
        <v>45789</v>
      </c>
      <c r="C433" s="12" t="str">
        <f aca="false">TEXT(B433,"yyyy-mm")</f>
        <v>2025-05</v>
      </c>
      <c r="D433" s="12" t="s">
        <v>75</v>
      </c>
      <c r="E433" s="12" t="s">
        <v>49</v>
      </c>
      <c r="F433" s="12" t="s">
        <v>50</v>
      </c>
      <c r="G433" s="14" t="n">
        <v>1600</v>
      </c>
      <c r="H433" s="15" t="n">
        <v>29.12</v>
      </c>
      <c r="I433" s="15" t="n">
        <v>29.03</v>
      </c>
      <c r="J433" s="16" t="n">
        <f aca="false">G433*H433</f>
        <v>46592</v>
      </c>
      <c r="K433" s="16" t="n">
        <f aca="false">(H433-I433)*G433</f>
        <v>144</v>
      </c>
      <c r="L433" s="17" t="n">
        <f aca="false">IF(I433=0,0,H433/I433-1)</f>
        <v>0.00310024112986573</v>
      </c>
      <c r="M433" s="14" t="n">
        <v>1</v>
      </c>
      <c r="N433" s="18" t="n">
        <v>0.028</v>
      </c>
    </row>
    <row r="434" customFormat="false" ht="15" hidden="false" customHeight="false" outlineLevel="0" collapsed="false">
      <c r="A434" s="12" t="s">
        <v>493</v>
      </c>
      <c r="B434" s="13" t="n">
        <v>45790</v>
      </c>
      <c r="C434" s="12" t="str">
        <f aca="false">TEXT(B434,"yyyy-mm")</f>
        <v>2025-05</v>
      </c>
      <c r="D434" s="12" t="s">
        <v>58</v>
      </c>
      <c r="E434" s="12" t="s">
        <v>59</v>
      </c>
      <c r="F434" s="12" t="s">
        <v>55</v>
      </c>
      <c r="G434" s="14" t="n">
        <v>200</v>
      </c>
      <c r="H434" s="15" t="n">
        <v>40.55</v>
      </c>
      <c r="I434" s="15" t="n">
        <v>37.2</v>
      </c>
      <c r="J434" s="16" t="n">
        <f aca="false">G434*H434</f>
        <v>8110</v>
      </c>
      <c r="K434" s="16" t="n">
        <f aca="false">(H434-I434)*G434</f>
        <v>669.999999999999</v>
      </c>
      <c r="L434" s="17" t="n">
        <f aca="false">IF(I434=0,0,H434/I434-1)</f>
        <v>0.09005376344086</v>
      </c>
      <c r="M434" s="14" t="n">
        <v>1</v>
      </c>
      <c r="N434" s="18" t="n">
        <v>0.016</v>
      </c>
    </row>
    <row r="435" customFormat="false" ht="15" hidden="false" customHeight="false" outlineLevel="0" collapsed="false">
      <c r="A435" s="12" t="s">
        <v>494</v>
      </c>
      <c r="B435" s="13" t="n">
        <v>45790</v>
      </c>
      <c r="C435" s="12" t="str">
        <f aca="false">TEXT(B435,"yyyy-mm")</f>
        <v>2025-05</v>
      </c>
      <c r="D435" s="12" t="s">
        <v>53</v>
      </c>
      <c r="E435" s="12" t="s">
        <v>54</v>
      </c>
      <c r="F435" s="12" t="s">
        <v>55</v>
      </c>
      <c r="G435" s="14" t="n">
        <v>400</v>
      </c>
      <c r="H435" s="15" t="n">
        <v>18.45</v>
      </c>
      <c r="I435" s="15" t="n">
        <v>17.72</v>
      </c>
      <c r="J435" s="16" t="n">
        <f aca="false">G435*H435</f>
        <v>7380</v>
      </c>
      <c r="K435" s="16" t="n">
        <f aca="false">(H435-I435)*G435</f>
        <v>292</v>
      </c>
      <c r="L435" s="17" t="n">
        <f aca="false">IF(I435=0,0,H435/I435-1)</f>
        <v>0.0411963882618511</v>
      </c>
      <c r="M435" s="14" t="n">
        <v>1</v>
      </c>
      <c r="N435" s="18" t="n">
        <v>0.012</v>
      </c>
    </row>
    <row r="436" customFormat="false" ht="15" hidden="false" customHeight="false" outlineLevel="0" collapsed="false">
      <c r="A436" s="12" t="s">
        <v>495</v>
      </c>
      <c r="B436" s="13" t="n">
        <v>45790</v>
      </c>
      <c r="C436" s="12" t="str">
        <f aca="false">TEXT(B436,"yyyy-mm")</f>
        <v>2025-05</v>
      </c>
      <c r="D436" s="12" t="s">
        <v>80</v>
      </c>
      <c r="E436" s="12" t="s">
        <v>81</v>
      </c>
      <c r="F436" s="12" t="s">
        <v>82</v>
      </c>
      <c r="G436" s="14" t="n">
        <v>2000</v>
      </c>
      <c r="H436" s="15" t="n">
        <v>24.85</v>
      </c>
      <c r="I436" s="15" t="n">
        <v>25.12</v>
      </c>
      <c r="J436" s="16" t="n">
        <f aca="false">G436*H436</f>
        <v>49700</v>
      </c>
      <c r="K436" s="16" t="n">
        <f aca="false">(H436-I436)*G436</f>
        <v>-539.999999999999</v>
      </c>
      <c r="L436" s="17" t="n">
        <f aca="false">IF(I436=0,0,H436/I436-1)</f>
        <v>-0.0107484076433121</v>
      </c>
      <c r="M436" s="14" t="n">
        <v>1</v>
      </c>
      <c r="N436" s="18" t="n">
        <v>0.036</v>
      </c>
    </row>
    <row r="437" customFormat="false" ht="15" hidden="false" customHeight="false" outlineLevel="0" collapsed="false">
      <c r="A437" s="12" t="s">
        <v>496</v>
      </c>
      <c r="B437" s="13" t="n">
        <v>45790</v>
      </c>
      <c r="C437" s="12" t="str">
        <f aca="false">TEXT(B437,"yyyy-mm")</f>
        <v>2025-05</v>
      </c>
      <c r="D437" s="12" t="s">
        <v>75</v>
      </c>
      <c r="E437" s="12" t="s">
        <v>40</v>
      </c>
      <c r="F437" s="12" t="s">
        <v>41</v>
      </c>
      <c r="G437" s="14" t="n">
        <v>800</v>
      </c>
      <c r="H437" s="15" t="n">
        <v>29.11</v>
      </c>
      <c r="I437" s="15" t="n">
        <v>28.42</v>
      </c>
      <c r="J437" s="16" t="n">
        <f aca="false">G437*H437</f>
        <v>23288</v>
      </c>
      <c r="K437" s="16" t="n">
        <f aca="false">(H437-I437)*G437</f>
        <v>551.999999999998</v>
      </c>
      <c r="L437" s="17" t="n">
        <f aca="false">IF(I437=0,0,H437/I437-1)</f>
        <v>0.0242786769880365</v>
      </c>
      <c r="M437" s="14" t="n">
        <v>1</v>
      </c>
      <c r="N437" s="18" t="n">
        <v>0.019</v>
      </c>
    </row>
    <row r="438" customFormat="false" ht="15" hidden="false" customHeight="false" outlineLevel="0" collapsed="false">
      <c r="A438" s="12" t="s">
        <v>497</v>
      </c>
      <c r="B438" s="13" t="n">
        <v>45791</v>
      </c>
      <c r="C438" s="12" t="str">
        <f aca="false">TEXT(B438,"yyyy-mm")</f>
        <v>2025-05</v>
      </c>
      <c r="D438" s="12" t="s">
        <v>58</v>
      </c>
      <c r="E438" s="12" t="s">
        <v>76</v>
      </c>
      <c r="F438" s="12" t="s">
        <v>77</v>
      </c>
      <c r="G438" s="14" t="n">
        <v>800</v>
      </c>
      <c r="H438" s="15" t="n">
        <v>35.61</v>
      </c>
      <c r="I438" s="15" t="n">
        <v>36.24</v>
      </c>
      <c r="J438" s="16" t="n">
        <f aca="false">G438*H438</f>
        <v>28488</v>
      </c>
      <c r="K438" s="16" t="n">
        <f aca="false">(H438-I438)*G438</f>
        <v>-504.000000000002</v>
      </c>
      <c r="L438" s="17" t="n">
        <f aca="false">IF(I438=0,0,H438/I438-1)</f>
        <v>-0.017384105960265</v>
      </c>
      <c r="M438" s="14" t="n">
        <v>1</v>
      </c>
      <c r="N438" s="18" t="n">
        <v>0.029</v>
      </c>
    </row>
    <row r="439" customFormat="false" ht="15" hidden="false" customHeight="false" outlineLevel="0" collapsed="false">
      <c r="A439" s="12" t="s">
        <v>498</v>
      </c>
      <c r="B439" s="13" t="n">
        <v>45791</v>
      </c>
      <c r="C439" s="12" t="str">
        <f aca="false">TEXT(B439,"yyyy-mm")</f>
        <v>2025-05</v>
      </c>
      <c r="D439" s="12" t="s">
        <v>35</v>
      </c>
      <c r="E439" s="12" t="s">
        <v>36</v>
      </c>
      <c r="F439" s="12" t="s">
        <v>37</v>
      </c>
      <c r="G439" s="14" t="n">
        <v>1200</v>
      </c>
      <c r="H439" s="15" t="n">
        <v>16.37</v>
      </c>
      <c r="I439" s="15" t="n">
        <v>16.9</v>
      </c>
      <c r="J439" s="16" t="n">
        <f aca="false">G439*H439</f>
        <v>19644</v>
      </c>
      <c r="K439" s="16" t="n">
        <f aca="false">(H439-I439)*G439</f>
        <v>-635.999999999997</v>
      </c>
      <c r="L439" s="17" t="n">
        <f aca="false">IF(I439=0,0,H439/I439-1)</f>
        <v>-0.031360946745562</v>
      </c>
      <c r="M439" s="14" t="n">
        <v>1</v>
      </c>
      <c r="N439" s="18" t="n">
        <v>0.023</v>
      </c>
    </row>
    <row r="440" customFormat="false" ht="15" hidden="false" customHeight="false" outlineLevel="0" collapsed="false">
      <c r="A440" s="12" t="s">
        <v>499</v>
      </c>
      <c r="B440" s="13" t="n">
        <v>45792</v>
      </c>
      <c r="C440" s="12" t="str">
        <f aca="false">TEXT(B440,"yyyy-mm")</f>
        <v>2025-05</v>
      </c>
      <c r="D440" s="12" t="s">
        <v>35</v>
      </c>
      <c r="E440" s="12" t="s">
        <v>43</v>
      </c>
      <c r="F440" s="12" t="s">
        <v>44</v>
      </c>
      <c r="G440" s="14" t="n">
        <v>2400</v>
      </c>
      <c r="H440" s="15" t="n">
        <v>16.91</v>
      </c>
      <c r="I440" s="15" t="n">
        <v>16.75</v>
      </c>
      <c r="J440" s="16" t="n">
        <f aca="false">G440*H440</f>
        <v>40584</v>
      </c>
      <c r="K440" s="16" t="n">
        <f aca="false">(H440-I440)*G440</f>
        <v>384</v>
      </c>
      <c r="L440" s="17" t="n">
        <f aca="false">IF(I440=0,0,H440/I440-1)</f>
        <v>0.00955223880597012</v>
      </c>
      <c r="M440" s="14" t="n">
        <v>1</v>
      </c>
      <c r="N440" s="18" t="n">
        <v>0.009</v>
      </c>
    </row>
    <row r="441" customFormat="false" ht="15" hidden="false" customHeight="false" outlineLevel="0" collapsed="false">
      <c r="A441" s="12" t="s">
        <v>500</v>
      </c>
      <c r="B441" s="13" t="n">
        <v>45792</v>
      </c>
      <c r="C441" s="12" t="str">
        <f aca="false">TEXT(B441,"yyyy-mm")</f>
        <v>2025-05</v>
      </c>
      <c r="D441" s="12" t="s">
        <v>75</v>
      </c>
      <c r="E441" s="12" t="s">
        <v>40</v>
      </c>
      <c r="F441" s="12" t="s">
        <v>41</v>
      </c>
      <c r="G441" s="14" t="n">
        <v>1000</v>
      </c>
      <c r="H441" s="15" t="n">
        <v>27.27</v>
      </c>
      <c r="I441" s="15" t="n">
        <v>27.44</v>
      </c>
      <c r="J441" s="16" t="n">
        <f aca="false">G441*H441</f>
        <v>27270</v>
      </c>
      <c r="K441" s="16" t="n">
        <f aca="false">(H441-I441)*G441</f>
        <v>-170.000000000002</v>
      </c>
      <c r="L441" s="17" t="n">
        <f aca="false">IF(I441=0,0,H441/I441-1)</f>
        <v>-0.00619533527696803</v>
      </c>
      <c r="M441" s="14" t="n">
        <v>1</v>
      </c>
      <c r="N441" s="18" t="n">
        <v>0.012</v>
      </c>
    </row>
    <row r="442" customFormat="false" ht="15" hidden="false" customHeight="false" outlineLevel="0" collapsed="false">
      <c r="A442" s="12" t="s">
        <v>501</v>
      </c>
      <c r="B442" s="13" t="n">
        <v>45792</v>
      </c>
      <c r="C442" s="12" t="str">
        <f aca="false">TEXT(B442,"yyyy-mm")</f>
        <v>2025-05</v>
      </c>
      <c r="D442" s="12" t="s">
        <v>35</v>
      </c>
      <c r="E442" s="12" t="s">
        <v>43</v>
      </c>
      <c r="F442" s="12" t="s">
        <v>44</v>
      </c>
      <c r="G442" s="14" t="n">
        <v>2400</v>
      </c>
      <c r="H442" s="15" t="n">
        <v>17.46</v>
      </c>
      <c r="I442" s="15" t="n">
        <v>17.18</v>
      </c>
      <c r="J442" s="16" t="n">
        <f aca="false">G442*H442</f>
        <v>41904</v>
      </c>
      <c r="K442" s="16" t="n">
        <f aca="false">(H442-I442)*G442</f>
        <v>672.000000000003</v>
      </c>
      <c r="L442" s="17" t="n">
        <f aca="false">IF(I442=0,0,H442/I442-1)</f>
        <v>0.0162980209545984</v>
      </c>
      <c r="M442" s="14" t="n">
        <v>1</v>
      </c>
      <c r="N442" s="18" t="n">
        <v>0.011</v>
      </c>
    </row>
    <row r="443" customFormat="false" ht="15" hidden="false" customHeight="false" outlineLevel="0" collapsed="false">
      <c r="A443" s="12" t="s">
        <v>502</v>
      </c>
      <c r="B443" s="13" t="n">
        <v>45792</v>
      </c>
      <c r="C443" s="12" t="str">
        <f aca="false">TEXT(B443,"yyyy-mm")</f>
        <v>2025-05</v>
      </c>
      <c r="D443" s="12" t="s">
        <v>58</v>
      </c>
      <c r="E443" s="12" t="s">
        <v>76</v>
      </c>
      <c r="F443" s="12" t="s">
        <v>77</v>
      </c>
      <c r="G443" s="14" t="n">
        <v>1600</v>
      </c>
      <c r="H443" s="15" t="n">
        <v>36.93</v>
      </c>
      <c r="I443" s="15" t="n">
        <v>37.93</v>
      </c>
      <c r="J443" s="16" t="n">
        <f aca="false">G443*H443</f>
        <v>59088</v>
      </c>
      <c r="K443" s="16" t="n">
        <f aca="false">(H443-I443)*G443</f>
        <v>-1600</v>
      </c>
      <c r="L443" s="17" t="n">
        <f aca="false">IF(I443=0,0,H443/I443-1)</f>
        <v>-0.0263643553915107</v>
      </c>
      <c r="M443" s="14" t="n">
        <v>1</v>
      </c>
      <c r="N443" s="18" t="n">
        <v>0.023</v>
      </c>
    </row>
    <row r="444" customFormat="false" ht="15" hidden="false" customHeight="false" outlineLevel="0" collapsed="false">
      <c r="A444" s="12" t="s">
        <v>503</v>
      </c>
      <c r="B444" s="13" t="n">
        <v>45793</v>
      </c>
      <c r="C444" s="12" t="str">
        <f aca="false">TEXT(B444,"yyyy-mm")</f>
        <v>2025-05</v>
      </c>
      <c r="D444" s="12" t="s">
        <v>80</v>
      </c>
      <c r="E444" s="12" t="s">
        <v>92</v>
      </c>
      <c r="F444" s="12" t="s">
        <v>93</v>
      </c>
      <c r="G444" s="14" t="n">
        <v>1200</v>
      </c>
      <c r="H444" s="15" t="n">
        <v>22.83</v>
      </c>
      <c r="I444" s="15" t="n">
        <v>24.12</v>
      </c>
      <c r="J444" s="16" t="n">
        <f aca="false">G444*H444</f>
        <v>27396</v>
      </c>
      <c r="K444" s="16" t="n">
        <f aca="false">(H444-I444)*G444</f>
        <v>-1548</v>
      </c>
      <c r="L444" s="17" t="n">
        <f aca="false">IF(I444=0,0,H444/I444-1)</f>
        <v>-0.0534825870646767</v>
      </c>
      <c r="M444" s="14" t="n">
        <v>1</v>
      </c>
      <c r="N444" s="18" t="n">
        <v>0.079</v>
      </c>
    </row>
    <row r="445" customFormat="false" ht="15" hidden="false" customHeight="false" outlineLevel="0" collapsed="false">
      <c r="A445" s="12" t="s">
        <v>504</v>
      </c>
      <c r="B445" s="13" t="n">
        <v>45794</v>
      </c>
      <c r="C445" s="12" t="str">
        <f aca="false">TEXT(B445,"yyyy-mm")</f>
        <v>2025-05</v>
      </c>
      <c r="D445" s="12" t="s">
        <v>53</v>
      </c>
      <c r="E445" s="12" t="s">
        <v>49</v>
      </c>
      <c r="F445" s="12" t="s">
        <v>50</v>
      </c>
      <c r="G445" s="14" t="n">
        <v>200</v>
      </c>
      <c r="H445" s="15" t="n">
        <v>16.59</v>
      </c>
      <c r="I445" s="15" t="n">
        <v>17.15</v>
      </c>
      <c r="J445" s="16" t="n">
        <f aca="false">G445*H445</f>
        <v>3318</v>
      </c>
      <c r="K445" s="16" t="n">
        <f aca="false">(H445-I445)*G445</f>
        <v>-112</v>
      </c>
      <c r="L445" s="17" t="n">
        <f aca="false">IF(I445=0,0,H445/I445-1)</f>
        <v>-0.0326530612244897</v>
      </c>
      <c r="M445" s="14" t="n">
        <v>1</v>
      </c>
      <c r="N445" s="18" t="n">
        <v>0.038</v>
      </c>
    </row>
    <row r="446" customFormat="false" ht="15" hidden="false" customHeight="false" outlineLevel="0" collapsed="false">
      <c r="A446" s="12" t="s">
        <v>505</v>
      </c>
      <c r="B446" s="13" t="n">
        <v>45794</v>
      </c>
      <c r="C446" s="12" t="str">
        <f aca="false">TEXT(B446,"yyyy-mm")</f>
        <v>2025-05</v>
      </c>
      <c r="D446" s="12" t="s">
        <v>53</v>
      </c>
      <c r="E446" s="12" t="s">
        <v>54</v>
      </c>
      <c r="F446" s="12" t="s">
        <v>55</v>
      </c>
      <c r="G446" s="14" t="n">
        <v>2000</v>
      </c>
      <c r="H446" s="15" t="n">
        <v>17.37</v>
      </c>
      <c r="I446" s="15" t="n">
        <v>16.73</v>
      </c>
      <c r="J446" s="16" t="n">
        <f aca="false">G446*H446</f>
        <v>34740</v>
      </c>
      <c r="K446" s="16" t="n">
        <f aca="false">(H446-I446)*G446</f>
        <v>1280</v>
      </c>
      <c r="L446" s="17" t="n">
        <f aca="false">IF(I446=0,0,H446/I446-1)</f>
        <v>0.0382546323968918</v>
      </c>
      <c r="M446" s="14" t="n">
        <v>1</v>
      </c>
      <c r="N446" s="18" t="n">
        <v>0.017</v>
      </c>
    </row>
    <row r="447" customFormat="false" ht="15" hidden="false" customHeight="false" outlineLevel="0" collapsed="false">
      <c r="A447" s="12" t="s">
        <v>506</v>
      </c>
      <c r="B447" s="13" t="n">
        <v>45795</v>
      </c>
      <c r="C447" s="12" t="str">
        <f aca="false">TEXT(B447,"yyyy-mm")</f>
        <v>2025-05</v>
      </c>
      <c r="D447" s="12" t="s">
        <v>53</v>
      </c>
      <c r="E447" s="12" t="s">
        <v>49</v>
      </c>
      <c r="F447" s="12" t="s">
        <v>50</v>
      </c>
      <c r="G447" s="14" t="n">
        <v>1000</v>
      </c>
      <c r="H447" s="15" t="n">
        <v>17.58</v>
      </c>
      <c r="I447" s="15" t="n">
        <v>17.68</v>
      </c>
      <c r="J447" s="16" t="n">
        <f aca="false">G447*H447</f>
        <v>17580</v>
      </c>
      <c r="K447" s="16" t="n">
        <f aca="false">(H447-I447)*G447</f>
        <v>-100.000000000001</v>
      </c>
      <c r="L447" s="17" t="n">
        <f aca="false">IF(I447=0,0,H447/I447-1)</f>
        <v>-0.00565610859728516</v>
      </c>
      <c r="M447" s="14" t="n">
        <v>1</v>
      </c>
      <c r="N447" s="18" t="n">
        <v>0.029</v>
      </c>
    </row>
    <row r="448" customFormat="false" ht="15" hidden="false" customHeight="false" outlineLevel="0" collapsed="false">
      <c r="A448" s="12" t="s">
        <v>507</v>
      </c>
      <c r="B448" s="13" t="n">
        <v>45795</v>
      </c>
      <c r="C448" s="12" t="str">
        <f aca="false">TEXT(B448,"yyyy-mm")</f>
        <v>2025-05</v>
      </c>
      <c r="D448" s="12" t="s">
        <v>53</v>
      </c>
      <c r="E448" s="12" t="s">
        <v>54</v>
      </c>
      <c r="F448" s="12" t="s">
        <v>55</v>
      </c>
      <c r="G448" s="14" t="n">
        <v>800</v>
      </c>
      <c r="H448" s="15" t="n">
        <v>17.23</v>
      </c>
      <c r="I448" s="15" t="n">
        <v>17.36</v>
      </c>
      <c r="J448" s="16" t="n">
        <f aca="false">G448*H448</f>
        <v>13784</v>
      </c>
      <c r="K448" s="16" t="n">
        <f aca="false">(H448-I448)*G448</f>
        <v>-103.999999999999</v>
      </c>
      <c r="L448" s="17" t="n">
        <f aca="false">IF(I448=0,0,H448/I448-1)</f>
        <v>-0.00748847926267271</v>
      </c>
      <c r="M448" s="14" t="n">
        <v>1</v>
      </c>
      <c r="N448" s="18" t="n">
        <v>0.013</v>
      </c>
    </row>
    <row r="449" customFormat="false" ht="15" hidden="false" customHeight="false" outlineLevel="0" collapsed="false">
      <c r="A449" s="12" t="s">
        <v>508</v>
      </c>
      <c r="B449" s="13" t="n">
        <v>45795</v>
      </c>
      <c r="C449" s="12" t="str">
        <f aca="false">TEXT(B449,"yyyy-mm")</f>
        <v>2025-05</v>
      </c>
      <c r="D449" s="12" t="s">
        <v>111</v>
      </c>
      <c r="E449" s="12" t="s">
        <v>76</v>
      </c>
      <c r="F449" s="12" t="s">
        <v>77</v>
      </c>
      <c r="G449" s="14" t="n">
        <v>2000</v>
      </c>
      <c r="H449" s="15" t="n">
        <v>22.05</v>
      </c>
      <c r="I449" s="15" t="n">
        <v>21.62</v>
      </c>
      <c r="J449" s="16" t="n">
        <f aca="false">G449*H449</f>
        <v>44100</v>
      </c>
      <c r="K449" s="16" t="n">
        <f aca="false">(H449-I449)*G449</f>
        <v>859.999999999999</v>
      </c>
      <c r="L449" s="17" t="n">
        <f aca="false">IF(I449=0,0,H449/I449-1)</f>
        <v>0.0198889916743756</v>
      </c>
      <c r="M449" s="14" t="n">
        <v>1</v>
      </c>
      <c r="N449" s="18" t="n">
        <v>0.026</v>
      </c>
    </row>
    <row r="450" customFormat="false" ht="15" hidden="false" customHeight="false" outlineLevel="0" collapsed="false">
      <c r="A450" s="12" t="s">
        <v>509</v>
      </c>
      <c r="B450" s="13" t="n">
        <v>45796</v>
      </c>
      <c r="C450" s="12" t="str">
        <f aca="false">TEXT(B450,"yyyy-mm")</f>
        <v>2025-05</v>
      </c>
      <c r="D450" s="12" t="s">
        <v>61</v>
      </c>
      <c r="E450" s="12" t="s">
        <v>43</v>
      </c>
      <c r="F450" s="12" t="s">
        <v>44</v>
      </c>
      <c r="G450" s="14" t="n">
        <v>2000</v>
      </c>
      <c r="H450" s="15" t="n">
        <v>15.12</v>
      </c>
      <c r="I450" s="15" t="n">
        <v>15.01</v>
      </c>
      <c r="J450" s="16" t="n">
        <f aca="false">G450*H450</f>
        <v>30240</v>
      </c>
      <c r="K450" s="16" t="n">
        <f aca="false">(H450-I450)*G450</f>
        <v>219.999999999999</v>
      </c>
      <c r="L450" s="17" t="n">
        <f aca="false">IF(I450=0,0,H450/I450-1)</f>
        <v>0.00732844770153229</v>
      </c>
      <c r="M450" s="14" t="n">
        <v>1</v>
      </c>
      <c r="N450" s="18" t="n">
        <v>0.009</v>
      </c>
    </row>
    <row r="451" customFormat="false" ht="15" hidden="false" customHeight="false" outlineLevel="0" collapsed="false">
      <c r="A451" s="12" t="s">
        <v>510</v>
      </c>
      <c r="B451" s="13" t="n">
        <v>45796</v>
      </c>
      <c r="C451" s="12" t="str">
        <f aca="false">TEXT(B451,"yyyy-mm")</f>
        <v>2025-05</v>
      </c>
      <c r="D451" s="12" t="s">
        <v>35</v>
      </c>
      <c r="E451" s="12" t="s">
        <v>36</v>
      </c>
      <c r="F451" s="12" t="s">
        <v>37</v>
      </c>
      <c r="G451" s="14" t="n">
        <v>3200</v>
      </c>
      <c r="H451" s="15" t="n">
        <v>17.02</v>
      </c>
      <c r="I451" s="15" t="n">
        <v>16.65</v>
      </c>
      <c r="J451" s="16" t="n">
        <f aca="false">G451*H451</f>
        <v>54464</v>
      </c>
      <c r="K451" s="16" t="n">
        <f aca="false">(H451-I451)*G451</f>
        <v>1184</v>
      </c>
      <c r="L451" s="17" t="n">
        <f aca="false">IF(I451=0,0,H451/I451-1)</f>
        <v>0.0222222222222224</v>
      </c>
      <c r="M451" s="14" t="n">
        <v>1</v>
      </c>
      <c r="N451" s="18" t="n">
        <v>0.022</v>
      </c>
    </row>
    <row r="452" customFormat="false" ht="15" hidden="false" customHeight="false" outlineLevel="0" collapsed="false">
      <c r="A452" s="12" t="s">
        <v>511</v>
      </c>
      <c r="B452" s="13" t="n">
        <v>45796</v>
      </c>
      <c r="C452" s="12" t="str">
        <f aca="false">TEXT(B452,"yyyy-mm")</f>
        <v>2025-05</v>
      </c>
      <c r="D452" s="12" t="s">
        <v>61</v>
      </c>
      <c r="E452" s="12" t="s">
        <v>36</v>
      </c>
      <c r="F452" s="12" t="s">
        <v>37</v>
      </c>
      <c r="G452" s="14" t="n">
        <v>1200</v>
      </c>
      <c r="H452" s="15" t="n">
        <v>15.13</v>
      </c>
      <c r="I452" s="15" t="n">
        <v>14.73</v>
      </c>
      <c r="J452" s="16" t="n">
        <f aca="false">G452*H452</f>
        <v>18156</v>
      </c>
      <c r="K452" s="16" t="n">
        <f aca="false">(H452-I452)*G452</f>
        <v>480</v>
      </c>
      <c r="L452" s="17" t="n">
        <f aca="false">IF(I452=0,0,H452/I452-1)</f>
        <v>0.0271554650373387</v>
      </c>
      <c r="M452" s="14" t="n">
        <v>1</v>
      </c>
      <c r="N452" s="18" t="n">
        <v>0.024</v>
      </c>
    </row>
    <row r="453" customFormat="false" ht="15" hidden="false" customHeight="false" outlineLevel="0" collapsed="false">
      <c r="A453" s="12" t="s">
        <v>512</v>
      </c>
      <c r="B453" s="13" t="n">
        <v>45797</v>
      </c>
      <c r="C453" s="12" t="str">
        <f aca="false">TEXT(B453,"yyyy-mm")</f>
        <v>2025-05</v>
      </c>
      <c r="D453" s="12" t="s">
        <v>75</v>
      </c>
      <c r="E453" s="12" t="s">
        <v>76</v>
      </c>
      <c r="F453" s="12" t="s">
        <v>77</v>
      </c>
      <c r="G453" s="14" t="n">
        <v>1000</v>
      </c>
      <c r="H453" s="15" t="n">
        <v>27.29</v>
      </c>
      <c r="I453" s="15" t="n">
        <v>28.01</v>
      </c>
      <c r="J453" s="16" t="n">
        <f aca="false">G453*H453</f>
        <v>27290</v>
      </c>
      <c r="K453" s="16" t="n">
        <f aca="false">(H453-I453)*G453</f>
        <v>-720.000000000002</v>
      </c>
      <c r="L453" s="17" t="n">
        <f aca="false">IF(I453=0,0,H453/I453-1)</f>
        <v>-0.0257051053195289</v>
      </c>
      <c r="M453" s="14" t="n">
        <v>1</v>
      </c>
      <c r="N453" s="18" t="n">
        <v>0.024</v>
      </c>
    </row>
    <row r="454" customFormat="false" ht="15" hidden="false" customHeight="false" outlineLevel="0" collapsed="false">
      <c r="A454" s="12" t="s">
        <v>513</v>
      </c>
      <c r="B454" s="13" t="n">
        <v>45797</v>
      </c>
      <c r="C454" s="12" t="str">
        <f aca="false">TEXT(B454,"yyyy-mm")</f>
        <v>2025-05</v>
      </c>
      <c r="D454" s="12" t="s">
        <v>39</v>
      </c>
      <c r="E454" s="12" t="s">
        <v>46</v>
      </c>
      <c r="F454" s="12" t="s">
        <v>47</v>
      </c>
      <c r="G454" s="14" t="n">
        <v>200</v>
      </c>
      <c r="H454" s="15" t="n">
        <v>21.3</v>
      </c>
      <c r="I454" s="15" t="n">
        <v>20.29</v>
      </c>
      <c r="J454" s="16" t="n">
        <f aca="false">G454*H454</f>
        <v>4260</v>
      </c>
      <c r="K454" s="16" t="n">
        <f aca="false">(H454-I454)*G454</f>
        <v>202</v>
      </c>
      <c r="L454" s="17" t="n">
        <f aca="false">IF(I454=0,0,H454/I454-1)</f>
        <v>0.0497782158698867</v>
      </c>
      <c r="M454" s="14" t="n">
        <v>1</v>
      </c>
      <c r="N454" s="18" t="n">
        <v>0.009</v>
      </c>
    </row>
    <row r="455" customFormat="false" ht="15" hidden="false" customHeight="false" outlineLevel="0" collapsed="false">
      <c r="A455" s="12" t="s">
        <v>514</v>
      </c>
      <c r="B455" s="13" t="n">
        <v>45797</v>
      </c>
      <c r="C455" s="12" t="str">
        <f aca="false">TEXT(B455,"yyyy-mm")</f>
        <v>2025-05</v>
      </c>
      <c r="D455" s="12" t="s">
        <v>53</v>
      </c>
      <c r="E455" s="12" t="s">
        <v>49</v>
      </c>
      <c r="F455" s="12" t="s">
        <v>50</v>
      </c>
      <c r="G455" s="14" t="n">
        <v>1000</v>
      </c>
      <c r="H455" s="15" t="n">
        <v>16.79</v>
      </c>
      <c r="I455" s="15" t="n">
        <v>17.17</v>
      </c>
      <c r="J455" s="16" t="n">
        <f aca="false">G455*H455</f>
        <v>16790</v>
      </c>
      <c r="K455" s="16" t="n">
        <f aca="false">(H455-I455)*G455</f>
        <v>-380.000000000003</v>
      </c>
      <c r="L455" s="17" t="n">
        <f aca="false">IF(I455=0,0,H455/I455-1)</f>
        <v>-0.0221316249271988</v>
      </c>
      <c r="M455" s="14" t="n">
        <v>1</v>
      </c>
      <c r="N455" s="18" t="n">
        <v>0.037</v>
      </c>
    </row>
    <row r="456" customFormat="false" ht="15" hidden="false" customHeight="false" outlineLevel="0" collapsed="false">
      <c r="A456" s="12" t="s">
        <v>515</v>
      </c>
      <c r="B456" s="13" t="n">
        <v>45798</v>
      </c>
      <c r="C456" s="12" t="str">
        <f aca="false">TEXT(B456,"yyyy-mm")</f>
        <v>2025-05</v>
      </c>
      <c r="D456" s="12" t="s">
        <v>53</v>
      </c>
      <c r="E456" s="12" t="s">
        <v>54</v>
      </c>
      <c r="F456" s="12" t="s">
        <v>55</v>
      </c>
      <c r="G456" s="14" t="n">
        <v>200</v>
      </c>
      <c r="H456" s="15" t="n">
        <v>17.77</v>
      </c>
      <c r="I456" s="15" t="n">
        <v>17.6</v>
      </c>
      <c r="J456" s="16" t="n">
        <f aca="false">G456*H456</f>
        <v>3554</v>
      </c>
      <c r="K456" s="16" t="n">
        <f aca="false">(H456-I456)*G456</f>
        <v>33.9999999999996</v>
      </c>
      <c r="L456" s="17" t="n">
        <f aca="false">IF(I456=0,0,H456/I456-1)</f>
        <v>0.00965909090909078</v>
      </c>
      <c r="M456" s="14" t="n">
        <v>1</v>
      </c>
      <c r="N456" s="18" t="n">
        <v>0.016</v>
      </c>
    </row>
    <row r="457" customFormat="false" ht="15" hidden="false" customHeight="false" outlineLevel="0" collapsed="false">
      <c r="A457" s="12" t="s">
        <v>516</v>
      </c>
      <c r="B457" s="13" t="n">
        <v>45798</v>
      </c>
      <c r="C457" s="12" t="str">
        <f aca="false">TEXT(B457,"yyyy-mm")</f>
        <v>2025-05</v>
      </c>
      <c r="D457" s="12" t="s">
        <v>58</v>
      </c>
      <c r="E457" s="12" t="s">
        <v>59</v>
      </c>
      <c r="F457" s="12" t="s">
        <v>55</v>
      </c>
      <c r="G457" s="14" t="n">
        <v>400</v>
      </c>
      <c r="H457" s="15" t="n">
        <v>39.18</v>
      </c>
      <c r="I457" s="15" t="n">
        <v>36.43</v>
      </c>
      <c r="J457" s="16" t="n">
        <f aca="false">G457*H457</f>
        <v>15672</v>
      </c>
      <c r="K457" s="16" t="n">
        <f aca="false">(H457-I457)*G457</f>
        <v>1100</v>
      </c>
      <c r="L457" s="17" t="n">
        <f aca="false">IF(I457=0,0,H457/I457-1)</f>
        <v>0.0754872357946748</v>
      </c>
      <c r="M457" s="14" t="n">
        <v>1</v>
      </c>
      <c r="N457" s="18" t="n">
        <v>0.016</v>
      </c>
    </row>
    <row r="458" customFormat="false" ht="15" hidden="false" customHeight="false" outlineLevel="0" collapsed="false">
      <c r="A458" s="12" t="s">
        <v>517</v>
      </c>
      <c r="B458" s="13" t="n">
        <v>45798</v>
      </c>
      <c r="C458" s="12" t="str">
        <f aca="false">TEXT(B458,"yyyy-mm")</f>
        <v>2025-05</v>
      </c>
      <c r="D458" s="12" t="s">
        <v>111</v>
      </c>
      <c r="E458" s="12" t="s">
        <v>76</v>
      </c>
      <c r="F458" s="12" t="s">
        <v>77</v>
      </c>
      <c r="G458" s="14" t="n">
        <v>400</v>
      </c>
      <c r="H458" s="15" t="n">
        <v>20.96</v>
      </c>
      <c r="I458" s="15" t="n">
        <v>21.51</v>
      </c>
      <c r="J458" s="16" t="n">
        <f aca="false">G458*H458</f>
        <v>8384</v>
      </c>
      <c r="K458" s="16" t="n">
        <f aca="false">(H458-I458)*G458</f>
        <v>-220</v>
      </c>
      <c r="L458" s="17" t="n">
        <f aca="false">IF(I458=0,0,H458/I458-1)</f>
        <v>-0.0255695025569503</v>
      </c>
      <c r="M458" s="14" t="n">
        <v>0</v>
      </c>
      <c r="N458" s="18" t="n">
        <v>0.038</v>
      </c>
    </row>
    <row r="459" customFormat="false" ht="15" hidden="false" customHeight="false" outlineLevel="0" collapsed="false">
      <c r="A459" s="12" t="s">
        <v>518</v>
      </c>
      <c r="B459" s="13" t="n">
        <v>45798</v>
      </c>
      <c r="C459" s="12" t="str">
        <f aca="false">TEXT(B459,"yyyy-mm")</f>
        <v>2025-05</v>
      </c>
      <c r="D459" s="12" t="s">
        <v>53</v>
      </c>
      <c r="E459" s="12" t="s">
        <v>49</v>
      </c>
      <c r="F459" s="12" t="s">
        <v>50</v>
      </c>
      <c r="G459" s="14" t="n">
        <v>400</v>
      </c>
      <c r="H459" s="15" t="n">
        <v>17.45</v>
      </c>
      <c r="I459" s="15" t="n">
        <v>17.12</v>
      </c>
      <c r="J459" s="16" t="n">
        <f aca="false">G459*H459</f>
        <v>6980</v>
      </c>
      <c r="K459" s="16" t="n">
        <f aca="false">(H459-I459)*G459</f>
        <v>131.999999999999</v>
      </c>
      <c r="L459" s="17" t="n">
        <f aca="false">IF(I459=0,0,H459/I459-1)</f>
        <v>0.0192757009345794</v>
      </c>
      <c r="M459" s="14" t="n">
        <v>0</v>
      </c>
      <c r="N459" s="18" t="n">
        <v>0.017</v>
      </c>
    </row>
    <row r="460" customFormat="false" ht="15" hidden="false" customHeight="false" outlineLevel="0" collapsed="false">
      <c r="A460" s="12" t="s">
        <v>519</v>
      </c>
      <c r="B460" s="13" t="n">
        <v>45798</v>
      </c>
      <c r="C460" s="12" t="str">
        <f aca="false">TEXT(B460,"yyyy-mm")</f>
        <v>2025-05</v>
      </c>
      <c r="D460" s="12" t="s">
        <v>58</v>
      </c>
      <c r="E460" s="12" t="s">
        <v>59</v>
      </c>
      <c r="F460" s="12" t="s">
        <v>55</v>
      </c>
      <c r="G460" s="14" t="n">
        <v>200</v>
      </c>
      <c r="H460" s="15" t="n">
        <v>38.88</v>
      </c>
      <c r="I460" s="15" t="n">
        <v>37.78</v>
      </c>
      <c r="J460" s="16" t="n">
        <f aca="false">G460*H460</f>
        <v>7776</v>
      </c>
      <c r="K460" s="16" t="n">
        <f aca="false">(H460-I460)*G460</f>
        <v>220</v>
      </c>
      <c r="L460" s="17" t="n">
        <f aca="false">IF(I460=0,0,H460/I460-1)</f>
        <v>0.0291159343568026</v>
      </c>
      <c r="M460" s="14" t="n">
        <v>1</v>
      </c>
      <c r="N460" s="18" t="n">
        <v>0.027</v>
      </c>
    </row>
    <row r="461" customFormat="false" ht="15" hidden="false" customHeight="false" outlineLevel="0" collapsed="false">
      <c r="A461" s="12" t="s">
        <v>520</v>
      </c>
      <c r="B461" s="13" t="n">
        <v>45798</v>
      </c>
      <c r="C461" s="12" t="str">
        <f aca="false">TEXT(B461,"yyyy-mm")</f>
        <v>2025-05</v>
      </c>
      <c r="D461" s="12" t="s">
        <v>39</v>
      </c>
      <c r="E461" s="12" t="s">
        <v>46</v>
      </c>
      <c r="F461" s="12" t="s">
        <v>47</v>
      </c>
      <c r="G461" s="14" t="n">
        <v>1600</v>
      </c>
      <c r="H461" s="15" t="n">
        <v>20.44</v>
      </c>
      <c r="I461" s="15" t="n">
        <v>19.5</v>
      </c>
      <c r="J461" s="16" t="n">
        <f aca="false">G461*H461</f>
        <v>32704</v>
      </c>
      <c r="K461" s="16" t="n">
        <f aca="false">(H461-I461)*G461</f>
        <v>1504</v>
      </c>
      <c r="L461" s="17" t="n">
        <f aca="false">IF(I461=0,0,H461/I461-1)</f>
        <v>0.0482051282051283</v>
      </c>
      <c r="M461" s="14" t="n">
        <v>1</v>
      </c>
      <c r="N461" s="18" t="n">
        <v>0.007</v>
      </c>
    </row>
    <row r="462" customFormat="false" ht="15" hidden="false" customHeight="false" outlineLevel="0" collapsed="false">
      <c r="A462" s="12" t="s">
        <v>521</v>
      </c>
      <c r="B462" s="13" t="n">
        <v>45799</v>
      </c>
      <c r="C462" s="12" t="str">
        <f aca="false">TEXT(B462,"yyyy-mm")</f>
        <v>2025-05</v>
      </c>
      <c r="D462" s="12" t="s">
        <v>61</v>
      </c>
      <c r="E462" s="12" t="s">
        <v>36</v>
      </c>
      <c r="F462" s="12" t="s">
        <v>37</v>
      </c>
      <c r="G462" s="14" t="n">
        <v>400</v>
      </c>
      <c r="H462" s="15" t="n">
        <v>14.94</v>
      </c>
      <c r="I462" s="15" t="n">
        <v>14.79</v>
      </c>
      <c r="J462" s="16" t="n">
        <f aca="false">G462*H462</f>
        <v>5976</v>
      </c>
      <c r="K462" s="16" t="n">
        <f aca="false">(H462-I462)*G462</f>
        <v>60.0000000000001</v>
      </c>
      <c r="L462" s="17" t="n">
        <f aca="false">IF(I462=0,0,H462/I462-1)</f>
        <v>0.0101419878296147</v>
      </c>
      <c r="M462" s="14" t="n">
        <v>1</v>
      </c>
      <c r="N462" s="18" t="n">
        <v>0.013</v>
      </c>
    </row>
    <row r="463" customFormat="false" ht="15" hidden="false" customHeight="false" outlineLevel="0" collapsed="false">
      <c r="A463" s="12" t="s">
        <v>522</v>
      </c>
      <c r="B463" s="13" t="n">
        <v>45799</v>
      </c>
      <c r="C463" s="12" t="str">
        <f aca="false">TEXT(B463,"yyyy-mm")</f>
        <v>2025-05</v>
      </c>
      <c r="D463" s="12" t="s">
        <v>80</v>
      </c>
      <c r="E463" s="12" t="s">
        <v>81</v>
      </c>
      <c r="F463" s="12" t="s">
        <v>82</v>
      </c>
      <c r="G463" s="14" t="n">
        <v>2000</v>
      </c>
      <c r="H463" s="15" t="n">
        <v>24.27</v>
      </c>
      <c r="I463" s="15" t="n">
        <v>25.27</v>
      </c>
      <c r="J463" s="16" t="n">
        <f aca="false">G463*H463</f>
        <v>48540</v>
      </c>
      <c r="K463" s="16" t="n">
        <f aca="false">(H463-I463)*G463</f>
        <v>-2000</v>
      </c>
      <c r="L463" s="17" t="n">
        <f aca="false">IF(I463=0,0,H463/I463-1)</f>
        <v>-0.0395726157499011</v>
      </c>
      <c r="M463" s="14" t="n">
        <v>1</v>
      </c>
      <c r="N463" s="18" t="n">
        <v>0.03</v>
      </c>
    </row>
    <row r="464" customFormat="false" ht="15" hidden="false" customHeight="false" outlineLevel="0" collapsed="false">
      <c r="A464" s="12" t="s">
        <v>523</v>
      </c>
      <c r="B464" s="13" t="n">
        <v>45799</v>
      </c>
      <c r="C464" s="12" t="str">
        <f aca="false">TEXT(B464,"yyyy-mm")</f>
        <v>2025-05</v>
      </c>
      <c r="D464" s="12" t="s">
        <v>80</v>
      </c>
      <c r="E464" s="12" t="s">
        <v>81</v>
      </c>
      <c r="F464" s="12" t="s">
        <v>82</v>
      </c>
      <c r="G464" s="14" t="n">
        <v>600</v>
      </c>
      <c r="H464" s="15" t="n">
        <v>24.69</v>
      </c>
      <c r="I464" s="15" t="n">
        <v>25.14</v>
      </c>
      <c r="J464" s="16" t="n">
        <f aca="false">G464*H464</f>
        <v>14814</v>
      </c>
      <c r="K464" s="16" t="n">
        <f aca="false">(H464-I464)*G464</f>
        <v>-270</v>
      </c>
      <c r="L464" s="17" t="n">
        <f aca="false">IF(I464=0,0,H464/I464-1)</f>
        <v>-0.0178997613365155</v>
      </c>
      <c r="M464" s="14" t="n">
        <v>0</v>
      </c>
      <c r="N464" s="18" t="n">
        <v>0.046</v>
      </c>
    </row>
    <row r="465" customFormat="false" ht="15" hidden="false" customHeight="false" outlineLevel="0" collapsed="false">
      <c r="A465" s="12" t="s">
        <v>524</v>
      </c>
      <c r="B465" s="13" t="n">
        <v>45800</v>
      </c>
      <c r="C465" s="12" t="str">
        <f aca="false">TEXT(B465,"yyyy-mm")</f>
        <v>2025-05</v>
      </c>
      <c r="D465" s="12" t="s">
        <v>61</v>
      </c>
      <c r="E465" s="12" t="s">
        <v>36</v>
      </c>
      <c r="F465" s="12" t="s">
        <v>37</v>
      </c>
      <c r="G465" s="14" t="n">
        <v>1600</v>
      </c>
      <c r="H465" s="15" t="n">
        <v>14.84</v>
      </c>
      <c r="I465" s="15" t="n">
        <v>15.23</v>
      </c>
      <c r="J465" s="16" t="n">
        <f aca="false">G465*H465</f>
        <v>23744</v>
      </c>
      <c r="K465" s="16" t="n">
        <f aca="false">(H465-I465)*G465</f>
        <v>-624.000000000001</v>
      </c>
      <c r="L465" s="17" t="n">
        <f aca="false">IF(I465=0,0,H465/I465-1)</f>
        <v>-0.0256073539067631</v>
      </c>
      <c r="M465" s="14" t="n">
        <v>1</v>
      </c>
      <c r="N465" s="18" t="n">
        <v>0.009</v>
      </c>
    </row>
    <row r="466" customFormat="false" ht="15" hidden="false" customHeight="false" outlineLevel="0" collapsed="false">
      <c r="A466" s="12" t="s">
        <v>525</v>
      </c>
      <c r="B466" s="13" t="n">
        <v>45801</v>
      </c>
      <c r="C466" s="12" t="str">
        <f aca="false">TEXT(B466,"yyyy-mm")</f>
        <v>2025-05</v>
      </c>
      <c r="D466" s="12" t="s">
        <v>75</v>
      </c>
      <c r="E466" s="12" t="s">
        <v>40</v>
      </c>
      <c r="F466" s="12" t="s">
        <v>41</v>
      </c>
      <c r="G466" s="14" t="n">
        <v>200</v>
      </c>
      <c r="H466" s="15" t="n">
        <v>28.44</v>
      </c>
      <c r="I466" s="15" t="n">
        <v>27.89</v>
      </c>
      <c r="J466" s="16" t="n">
        <f aca="false">G466*H466</f>
        <v>5688</v>
      </c>
      <c r="K466" s="16" t="n">
        <f aca="false">(H466-I466)*G466</f>
        <v>110</v>
      </c>
      <c r="L466" s="17" t="n">
        <f aca="false">IF(I466=0,0,H466/I466-1)</f>
        <v>0.0197203298673361</v>
      </c>
      <c r="M466" s="14" t="n">
        <v>0</v>
      </c>
      <c r="N466" s="18" t="n">
        <v>0.013</v>
      </c>
    </row>
    <row r="467" customFormat="false" ht="15" hidden="false" customHeight="false" outlineLevel="0" collapsed="false">
      <c r="A467" s="12" t="s">
        <v>526</v>
      </c>
      <c r="B467" s="13" t="n">
        <v>45801</v>
      </c>
      <c r="C467" s="12" t="str">
        <f aca="false">TEXT(B467,"yyyy-mm")</f>
        <v>2025-05</v>
      </c>
      <c r="D467" s="12" t="s">
        <v>80</v>
      </c>
      <c r="E467" s="12" t="s">
        <v>81</v>
      </c>
      <c r="F467" s="12" t="s">
        <v>82</v>
      </c>
      <c r="G467" s="14" t="n">
        <v>800</v>
      </c>
      <c r="H467" s="15" t="n">
        <v>24.49</v>
      </c>
      <c r="I467" s="15" t="n">
        <v>24.35</v>
      </c>
      <c r="J467" s="16" t="n">
        <f aca="false">G467*H467</f>
        <v>19592</v>
      </c>
      <c r="K467" s="16" t="n">
        <f aca="false">(H467-I467)*G467</f>
        <v>111.999999999998</v>
      </c>
      <c r="L467" s="17" t="n">
        <f aca="false">IF(I467=0,0,H467/I467-1)</f>
        <v>0.00574948665297725</v>
      </c>
      <c r="M467" s="14" t="n">
        <v>1</v>
      </c>
      <c r="N467" s="18" t="n">
        <v>0.028</v>
      </c>
    </row>
    <row r="468" customFormat="false" ht="15" hidden="false" customHeight="false" outlineLevel="0" collapsed="false">
      <c r="A468" s="12" t="s">
        <v>527</v>
      </c>
      <c r="B468" s="13" t="n">
        <v>45802</v>
      </c>
      <c r="C468" s="12" t="str">
        <f aca="false">TEXT(B468,"yyyy-mm")</f>
        <v>2025-05</v>
      </c>
      <c r="D468" s="12" t="s">
        <v>80</v>
      </c>
      <c r="E468" s="12" t="s">
        <v>81</v>
      </c>
      <c r="F468" s="12" t="s">
        <v>82</v>
      </c>
      <c r="G468" s="14" t="n">
        <v>400</v>
      </c>
      <c r="H468" s="15" t="n">
        <v>23.29</v>
      </c>
      <c r="I468" s="15" t="n">
        <v>23.99</v>
      </c>
      <c r="J468" s="16" t="n">
        <f aca="false">G468*H468</f>
        <v>9316</v>
      </c>
      <c r="K468" s="16" t="n">
        <f aca="false">(H468-I468)*G468</f>
        <v>-280</v>
      </c>
      <c r="L468" s="17" t="n">
        <f aca="false">IF(I468=0,0,H468/I468-1)</f>
        <v>-0.0291788245102126</v>
      </c>
      <c r="M468" s="14" t="n">
        <v>0</v>
      </c>
      <c r="N468" s="18" t="n">
        <v>0.05</v>
      </c>
    </row>
    <row r="469" customFormat="false" ht="15" hidden="false" customHeight="false" outlineLevel="0" collapsed="false">
      <c r="A469" s="12" t="s">
        <v>528</v>
      </c>
      <c r="B469" s="13" t="n">
        <v>45803</v>
      </c>
      <c r="C469" s="12" t="str">
        <f aca="false">TEXT(B469,"yyyy-mm")</f>
        <v>2025-05</v>
      </c>
      <c r="D469" s="12" t="s">
        <v>58</v>
      </c>
      <c r="E469" s="12" t="s">
        <v>76</v>
      </c>
      <c r="F469" s="12" t="s">
        <v>77</v>
      </c>
      <c r="G469" s="14" t="n">
        <v>1200</v>
      </c>
      <c r="H469" s="15" t="n">
        <v>38.8</v>
      </c>
      <c r="I469" s="15" t="n">
        <v>37.59</v>
      </c>
      <c r="J469" s="16" t="n">
        <f aca="false">G469*H469</f>
        <v>46560</v>
      </c>
      <c r="K469" s="16" t="n">
        <f aca="false">(H469-I469)*G469</f>
        <v>1451.99999999999</v>
      </c>
      <c r="L469" s="17" t="n">
        <f aca="false">IF(I469=0,0,H469/I469-1)</f>
        <v>0.03218941207768</v>
      </c>
      <c r="M469" s="14" t="n">
        <v>1</v>
      </c>
      <c r="N469" s="18" t="n">
        <v>0.015</v>
      </c>
    </row>
    <row r="470" customFormat="false" ht="15" hidden="false" customHeight="false" outlineLevel="0" collapsed="false">
      <c r="A470" s="12" t="s">
        <v>529</v>
      </c>
      <c r="B470" s="13" t="n">
        <v>45803</v>
      </c>
      <c r="C470" s="12" t="str">
        <f aca="false">TEXT(B470,"yyyy-mm")</f>
        <v>2025-05</v>
      </c>
      <c r="D470" s="12" t="s">
        <v>53</v>
      </c>
      <c r="E470" s="12" t="s">
        <v>54</v>
      </c>
      <c r="F470" s="12" t="s">
        <v>55</v>
      </c>
      <c r="G470" s="14" t="n">
        <v>200</v>
      </c>
      <c r="H470" s="15" t="n">
        <v>17.5</v>
      </c>
      <c r="I470" s="15" t="n">
        <v>17.16</v>
      </c>
      <c r="J470" s="16" t="n">
        <f aca="false">G470*H470</f>
        <v>3500</v>
      </c>
      <c r="K470" s="16" t="n">
        <f aca="false">(H470-I470)*G470</f>
        <v>68</v>
      </c>
      <c r="L470" s="17" t="n">
        <f aca="false">IF(I470=0,0,H470/I470-1)</f>
        <v>0.0198135198135199</v>
      </c>
      <c r="M470" s="14" t="n">
        <v>1</v>
      </c>
      <c r="N470" s="18" t="n">
        <v>0.016</v>
      </c>
    </row>
    <row r="471" customFormat="false" ht="15" hidden="false" customHeight="false" outlineLevel="0" collapsed="false">
      <c r="A471" s="12" t="s">
        <v>530</v>
      </c>
      <c r="B471" s="13" t="n">
        <v>45803</v>
      </c>
      <c r="C471" s="12" t="str">
        <f aca="false">TEXT(B471,"yyyy-mm")</f>
        <v>2025-05</v>
      </c>
      <c r="D471" s="12" t="s">
        <v>53</v>
      </c>
      <c r="E471" s="12" t="s">
        <v>54</v>
      </c>
      <c r="F471" s="12" t="s">
        <v>55</v>
      </c>
      <c r="G471" s="14" t="n">
        <v>1000</v>
      </c>
      <c r="H471" s="15" t="n">
        <v>17.42</v>
      </c>
      <c r="I471" s="15" t="n">
        <v>17.07</v>
      </c>
      <c r="J471" s="16" t="n">
        <f aca="false">G471*H471</f>
        <v>17420</v>
      </c>
      <c r="K471" s="16" t="n">
        <f aca="false">(H471-I471)*G471</f>
        <v>350.000000000001</v>
      </c>
      <c r="L471" s="17" t="n">
        <f aca="false">IF(I471=0,0,H471/I471-1)</f>
        <v>0.0205038078500295</v>
      </c>
      <c r="M471" s="14" t="n">
        <v>1</v>
      </c>
      <c r="N471" s="18" t="n">
        <v>0.018</v>
      </c>
    </row>
    <row r="472" customFormat="false" ht="15" hidden="false" customHeight="false" outlineLevel="0" collapsed="false">
      <c r="A472" s="12" t="s">
        <v>531</v>
      </c>
      <c r="B472" s="13" t="n">
        <v>45803</v>
      </c>
      <c r="C472" s="12" t="str">
        <f aca="false">TEXT(B472,"yyyy-mm")</f>
        <v>2025-05</v>
      </c>
      <c r="D472" s="12" t="s">
        <v>111</v>
      </c>
      <c r="E472" s="12" t="s">
        <v>76</v>
      </c>
      <c r="F472" s="12" t="s">
        <v>77</v>
      </c>
      <c r="G472" s="14" t="n">
        <v>1200</v>
      </c>
      <c r="H472" s="15" t="n">
        <v>22.29</v>
      </c>
      <c r="I472" s="15" t="n">
        <v>22</v>
      </c>
      <c r="J472" s="16" t="n">
        <f aca="false">G472*H472</f>
        <v>26748</v>
      </c>
      <c r="K472" s="16" t="n">
        <f aca="false">(H472-I472)*G472</f>
        <v>347.999999999999</v>
      </c>
      <c r="L472" s="17" t="n">
        <f aca="false">IF(I472=0,0,H472/I472-1)</f>
        <v>0.0131818181818182</v>
      </c>
      <c r="M472" s="14" t="n">
        <v>1</v>
      </c>
      <c r="N472" s="18" t="n">
        <v>0.016</v>
      </c>
    </row>
    <row r="473" customFormat="false" ht="15" hidden="false" customHeight="false" outlineLevel="0" collapsed="false">
      <c r="A473" s="12" t="s">
        <v>532</v>
      </c>
      <c r="B473" s="13" t="n">
        <v>45803</v>
      </c>
      <c r="C473" s="12" t="str">
        <f aca="false">TEXT(B473,"yyyy-mm")</f>
        <v>2025-05</v>
      </c>
      <c r="D473" s="12" t="s">
        <v>80</v>
      </c>
      <c r="E473" s="12" t="s">
        <v>81</v>
      </c>
      <c r="F473" s="12" t="s">
        <v>82</v>
      </c>
      <c r="G473" s="14" t="n">
        <v>800</v>
      </c>
      <c r="H473" s="15" t="n">
        <v>24.28</v>
      </c>
      <c r="I473" s="15" t="n">
        <v>24.74</v>
      </c>
      <c r="J473" s="16" t="n">
        <f aca="false">G473*H473</f>
        <v>19424</v>
      </c>
      <c r="K473" s="16" t="n">
        <f aca="false">(H473-I473)*G473</f>
        <v>-367.999999999998</v>
      </c>
      <c r="L473" s="17" t="n">
        <f aca="false">IF(I473=0,0,H473/I473-1)</f>
        <v>-0.0185933710590136</v>
      </c>
      <c r="M473" s="14" t="n">
        <v>1</v>
      </c>
      <c r="N473" s="18" t="n">
        <v>0.029</v>
      </c>
    </row>
    <row r="474" customFormat="false" ht="15" hidden="false" customHeight="false" outlineLevel="0" collapsed="false">
      <c r="A474" s="12" t="s">
        <v>533</v>
      </c>
      <c r="B474" s="13" t="n">
        <v>45804</v>
      </c>
      <c r="C474" s="12" t="str">
        <f aca="false">TEXT(B474,"yyyy-mm")</f>
        <v>2025-05</v>
      </c>
      <c r="D474" s="12" t="s">
        <v>39</v>
      </c>
      <c r="E474" s="12" t="s">
        <v>49</v>
      </c>
      <c r="F474" s="12" t="s">
        <v>50</v>
      </c>
      <c r="G474" s="14" t="n">
        <v>1600</v>
      </c>
      <c r="H474" s="15" t="n">
        <v>19.13</v>
      </c>
      <c r="I474" s="15" t="n">
        <v>19.51</v>
      </c>
      <c r="J474" s="16" t="n">
        <f aca="false">G474*H474</f>
        <v>30608</v>
      </c>
      <c r="K474" s="16" t="n">
        <f aca="false">(H474-I474)*G474</f>
        <v>-608.000000000004</v>
      </c>
      <c r="L474" s="17" t="n">
        <f aca="false">IF(I474=0,0,H474/I474-1)</f>
        <v>-0.0194771911840084</v>
      </c>
      <c r="M474" s="14" t="n">
        <v>0</v>
      </c>
      <c r="N474" s="18" t="n">
        <v>0.021</v>
      </c>
    </row>
    <row r="475" customFormat="false" ht="15" hidden="false" customHeight="false" outlineLevel="0" collapsed="false">
      <c r="A475" s="12" t="s">
        <v>534</v>
      </c>
      <c r="B475" s="13" t="n">
        <v>45804</v>
      </c>
      <c r="C475" s="12" t="str">
        <f aca="false">TEXT(B475,"yyyy-mm")</f>
        <v>2025-05</v>
      </c>
      <c r="D475" s="12" t="s">
        <v>80</v>
      </c>
      <c r="E475" s="12" t="s">
        <v>81</v>
      </c>
      <c r="F475" s="12" t="s">
        <v>82</v>
      </c>
      <c r="G475" s="14" t="n">
        <v>200</v>
      </c>
      <c r="H475" s="15" t="n">
        <v>25.19</v>
      </c>
      <c r="I475" s="15" t="n">
        <v>25.08</v>
      </c>
      <c r="J475" s="16" t="n">
        <f aca="false">G475*H475</f>
        <v>5038</v>
      </c>
      <c r="K475" s="16" t="n">
        <f aca="false">(H475-I475)*G475</f>
        <v>22.0000000000006</v>
      </c>
      <c r="L475" s="17" t="n">
        <f aca="false">IF(I475=0,0,H475/I475-1)</f>
        <v>0.00438596491228083</v>
      </c>
      <c r="M475" s="14" t="n">
        <v>1</v>
      </c>
      <c r="N475" s="18" t="n">
        <v>0.058</v>
      </c>
    </row>
    <row r="476" customFormat="false" ht="15" hidden="false" customHeight="false" outlineLevel="0" collapsed="false">
      <c r="A476" s="12" t="s">
        <v>535</v>
      </c>
      <c r="B476" s="13" t="n">
        <v>45804</v>
      </c>
      <c r="C476" s="12" t="str">
        <f aca="false">TEXT(B476,"yyyy-mm")</f>
        <v>2025-05</v>
      </c>
      <c r="D476" s="12" t="s">
        <v>35</v>
      </c>
      <c r="E476" s="12" t="s">
        <v>43</v>
      </c>
      <c r="F476" s="12" t="s">
        <v>44</v>
      </c>
      <c r="G476" s="14" t="n">
        <v>1200</v>
      </c>
      <c r="H476" s="15" t="n">
        <v>16.85</v>
      </c>
      <c r="I476" s="15" t="n">
        <v>16.51</v>
      </c>
      <c r="J476" s="16" t="n">
        <f aca="false">G476*H476</f>
        <v>20220</v>
      </c>
      <c r="K476" s="16" t="n">
        <f aca="false">(H476-I476)*G476</f>
        <v>408</v>
      </c>
      <c r="L476" s="17" t="n">
        <f aca="false">IF(I476=0,0,H476/I476-1)</f>
        <v>0.0205935796486978</v>
      </c>
      <c r="M476" s="14" t="n">
        <v>1</v>
      </c>
      <c r="N476" s="18" t="n">
        <v>0.012</v>
      </c>
    </row>
    <row r="477" customFormat="false" ht="15" hidden="false" customHeight="false" outlineLevel="0" collapsed="false">
      <c r="A477" s="12" t="s">
        <v>536</v>
      </c>
      <c r="B477" s="13" t="n">
        <v>45805</v>
      </c>
      <c r="C477" s="12" t="str">
        <f aca="false">TEXT(B477,"yyyy-mm")</f>
        <v>2025-05</v>
      </c>
      <c r="D477" s="12" t="s">
        <v>61</v>
      </c>
      <c r="E477" s="12" t="s">
        <v>36</v>
      </c>
      <c r="F477" s="12" t="s">
        <v>37</v>
      </c>
      <c r="G477" s="14" t="n">
        <v>600</v>
      </c>
      <c r="H477" s="15" t="n">
        <v>15.75</v>
      </c>
      <c r="I477" s="15" t="n">
        <v>15.38</v>
      </c>
      <c r="J477" s="16" t="n">
        <f aca="false">G477*H477</f>
        <v>9450</v>
      </c>
      <c r="K477" s="16" t="n">
        <f aca="false">(H477-I477)*G477</f>
        <v>222</v>
      </c>
      <c r="L477" s="17" t="n">
        <f aca="false">IF(I477=0,0,H477/I477-1)</f>
        <v>0.0240572171651494</v>
      </c>
      <c r="M477" s="14" t="n">
        <v>1</v>
      </c>
      <c r="N477" s="18" t="n">
        <v>0.015</v>
      </c>
    </row>
    <row r="478" customFormat="false" ht="15" hidden="false" customHeight="false" outlineLevel="0" collapsed="false">
      <c r="A478" s="12" t="s">
        <v>537</v>
      </c>
      <c r="B478" s="13" t="n">
        <v>45805</v>
      </c>
      <c r="C478" s="12" t="str">
        <f aca="false">TEXT(B478,"yyyy-mm")</f>
        <v>2025-05</v>
      </c>
      <c r="D478" s="12" t="s">
        <v>35</v>
      </c>
      <c r="E478" s="12" t="s">
        <v>43</v>
      </c>
      <c r="F478" s="12" t="s">
        <v>44</v>
      </c>
      <c r="G478" s="14" t="n">
        <v>1200</v>
      </c>
      <c r="H478" s="15" t="n">
        <v>18.31</v>
      </c>
      <c r="I478" s="15" t="n">
        <v>17.31</v>
      </c>
      <c r="J478" s="16" t="n">
        <f aca="false">G478*H478</f>
        <v>21972</v>
      </c>
      <c r="K478" s="16" t="n">
        <f aca="false">(H478-I478)*G478</f>
        <v>1200</v>
      </c>
      <c r="L478" s="17" t="n">
        <f aca="false">IF(I478=0,0,H478/I478-1)</f>
        <v>0.0577700751010977</v>
      </c>
      <c r="M478" s="14" t="n">
        <v>1</v>
      </c>
      <c r="N478" s="18" t="n">
        <v>0.011</v>
      </c>
    </row>
    <row r="479" customFormat="false" ht="15" hidden="false" customHeight="false" outlineLevel="0" collapsed="false">
      <c r="A479" s="12" t="s">
        <v>538</v>
      </c>
      <c r="B479" s="13" t="n">
        <v>45805</v>
      </c>
      <c r="C479" s="12" t="str">
        <f aca="false">TEXT(B479,"yyyy-mm")</f>
        <v>2025-05</v>
      </c>
      <c r="D479" s="12" t="s">
        <v>53</v>
      </c>
      <c r="E479" s="12" t="s">
        <v>49</v>
      </c>
      <c r="F479" s="12" t="s">
        <v>50</v>
      </c>
      <c r="G479" s="14" t="n">
        <v>600</v>
      </c>
      <c r="H479" s="15" t="n">
        <v>16.4</v>
      </c>
      <c r="I479" s="15" t="n">
        <v>16.83</v>
      </c>
      <c r="J479" s="16" t="n">
        <f aca="false">G479*H479</f>
        <v>9840</v>
      </c>
      <c r="K479" s="16" t="n">
        <f aca="false">(H479-I479)*G479</f>
        <v>-258</v>
      </c>
      <c r="L479" s="17" t="n">
        <f aca="false">IF(I479=0,0,H479/I479-1)</f>
        <v>-0.0255496137849079</v>
      </c>
      <c r="M479" s="14" t="n">
        <v>1</v>
      </c>
      <c r="N479" s="18" t="n">
        <v>0.037</v>
      </c>
    </row>
    <row r="480" customFormat="false" ht="15" hidden="false" customHeight="false" outlineLevel="0" collapsed="false">
      <c r="A480" s="12" t="s">
        <v>539</v>
      </c>
      <c r="B480" s="13" t="n">
        <v>45805</v>
      </c>
      <c r="C480" s="12" t="str">
        <f aca="false">TEXT(B480,"yyyy-mm")</f>
        <v>2025-05</v>
      </c>
      <c r="D480" s="12" t="s">
        <v>58</v>
      </c>
      <c r="E480" s="12" t="s">
        <v>59</v>
      </c>
      <c r="F480" s="12" t="s">
        <v>55</v>
      </c>
      <c r="G480" s="14" t="n">
        <v>1600</v>
      </c>
      <c r="H480" s="15" t="n">
        <v>39.2</v>
      </c>
      <c r="I480" s="15" t="n">
        <v>36.28</v>
      </c>
      <c r="J480" s="16" t="n">
        <f aca="false">G480*H480</f>
        <v>62720</v>
      </c>
      <c r="K480" s="16" t="n">
        <f aca="false">(H480-I480)*G480</f>
        <v>4672</v>
      </c>
      <c r="L480" s="17" t="n">
        <f aca="false">IF(I480=0,0,H480/I480-1)</f>
        <v>0.0804851157662625</v>
      </c>
      <c r="M480" s="14" t="n">
        <v>1</v>
      </c>
      <c r="N480" s="18" t="n">
        <v>0.017</v>
      </c>
    </row>
    <row r="481" customFormat="false" ht="15" hidden="false" customHeight="false" outlineLevel="0" collapsed="false">
      <c r="A481" s="12" t="s">
        <v>540</v>
      </c>
      <c r="B481" s="13" t="n">
        <v>45806</v>
      </c>
      <c r="C481" s="12" t="str">
        <f aca="false">TEXT(B481,"yyyy-mm")</f>
        <v>2025-05</v>
      </c>
      <c r="D481" s="12" t="s">
        <v>75</v>
      </c>
      <c r="E481" s="12" t="s">
        <v>76</v>
      </c>
      <c r="F481" s="12" t="s">
        <v>77</v>
      </c>
      <c r="G481" s="14" t="n">
        <v>1000</v>
      </c>
      <c r="H481" s="15" t="n">
        <v>28.59</v>
      </c>
      <c r="I481" s="15" t="n">
        <v>28.11</v>
      </c>
      <c r="J481" s="16" t="n">
        <f aca="false">G481*H481</f>
        <v>28590</v>
      </c>
      <c r="K481" s="16" t="n">
        <f aca="false">(H481-I481)*G481</f>
        <v>480</v>
      </c>
      <c r="L481" s="17" t="n">
        <f aca="false">IF(I481=0,0,H481/I481-1)</f>
        <v>0.0170757737459979</v>
      </c>
      <c r="M481" s="14" t="n">
        <v>1</v>
      </c>
      <c r="N481" s="18" t="n">
        <v>0.031</v>
      </c>
    </row>
    <row r="482" customFormat="false" ht="15" hidden="false" customHeight="false" outlineLevel="0" collapsed="false">
      <c r="A482" s="12" t="s">
        <v>541</v>
      </c>
      <c r="B482" s="13" t="n">
        <v>45806</v>
      </c>
      <c r="C482" s="12" t="str">
        <f aca="false">TEXT(B482,"yyyy-mm")</f>
        <v>2025-05</v>
      </c>
      <c r="D482" s="12" t="s">
        <v>39</v>
      </c>
      <c r="E482" s="12" t="s">
        <v>46</v>
      </c>
      <c r="F482" s="12" t="s">
        <v>47</v>
      </c>
      <c r="G482" s="14" t="n">
        <v>2000</v>
      </c>
      <c r="H482" s="15" t="n">
        <v>20.92</v>
      </c>
      <c r="I482" s="15" t="n">
        <v>20.13</v>
      </c>
      <c r="J482" s="16" t="n">
        <f aca="false">G482*H482</f>
        <v>41840</v>
      </c>
      <c r="K482" s="16" t="n">
        <f aca="false">(H482-I482)*G482</f>
        <v>1580.00000000001</v>
      </c>
      <c r="L482" s="17" t="n">
        <f aca="false">IF(I482=0,0,H482/I482-1)</f>
        <v>0.0392449080973674</v>
      </c>
      <c r="M482" s="14" t="n">
        <v>1</v>
      </c>
      <c r="N482" s="18" t="n">
        <v>0.006</v>
      </c>
    </row>
    <row r="483" customFormat="false" ht="15" hidden="false" customHeight="false" outlineLevel="0" collapsed="false">
      <c r="A483" s="12" t="s">
        <v>542</v>
      </c>
      <c r="B483" s="13" t="n">
        <v>45806</v>
      </c>
      <c r="C483" s="12" t="str">
        <f aca="false">TEXT(B483,"yyyy-mm")</f>
        <v>2025-05</v>
      </c>
      <c r="D483" s="12" t="s">
        <v>75</v>
      </c>
      <c r="E483" s="12" t="s">
        <v>76</v>
      </c>
      <c r="F483" s="12" t="s">
        <v>77</v>
      </c>
      <c r="G483" s="14" t="n">
        <v>1200</v>
      </c>
      <c r="H483" s="15" t="n">
        <v>28.12</v>
      </c>
      <c r="I483" s="15" t="n">
        <v>28.32</v>
      </c>
      <c r="J483" s="16" t="n">
        <f aca="false">G483*H483</f>
        <v>33744</v>
      </c>
      <c r="K483" s="16" t="n">
        <f aca="false">(H483-I483)*G483</f>
        <v>-239.999999999999</v>
      </c>
      <c r="L483" s="17" t="n">
        <f aca="false">IF(I483=0,0,H483/I483-1)</f>
        <v>-0.00706214689265539</v>
      </c>
      <c r="M483" s="14" t="n">
        <v>1</v>
      </c>
      <c r="N483" s="18" t="n">
        <v>0.027</v>
      </c>
    </row>
    <row r="484" customFormat="false" ht="15" hidden="false" customHeight="false" outlineLevel="0" collapsed="false">
      <c r="A484" s="12" t="s">
        <v>543</v>
      </c>
      <c r="B484" s="13" t="n">
        <v>45807</v>
      </c>
      <c r="C484" s="12" t="str">
        <f aca="false">TEXT(B484,"yyyy-mm")</f>
        <v>2025-05</v>
      </c>
      <c r="D484" s="12" t="s">
        <v>58</v>
      </c>
      <c r="E484" s="12" t="s">
        <v>59</v>
      </c>
      <c r="F484" s="12" t="s">
        <v>55</v>
      </c>
      <c r="G484" s="14" t="n">
        <v>1200</v>
      </c>
      <c r="H484" s="15" t="n">
        <v>39.33</v>
      </c>
      <c r="I484" s="15" t="n">
        <v>36.61</v>
      </c>
      <c r="J484" s="16" t="n">
        <f aca="false">G484*H484</f>
        <v>47196</v>
      </c>
      <c r="K484" s="16" t="n">
        <f aca="false">(H484-I484)*G484</f>
        <v>3264</v>
      </c>
      <c r="L484" s="17" t="n">
        <f aca="false">IF(I484=0,0,H484/I484-1)</f>
        <v>0.0742966402622234</v>
      </c>
      <c r="M484" s="14" t="n">
        <v>1</v>
      </c>
      <c r="N484" s="18" t="n">
        <v>0.033</v>
      </c>
    </row>
    <row r="485" customFormat="false" ht="15" hidden="false" customHeight="false" outlineLevel="0" collapsed="false">
      <c r="A485" s="12" t="s">
        <v>544</v>
      </c>
      <c r="B485" s="13" t="n">
        <v>45807</v>
      </c>
      <c r="C485" s="12" t="str">
        <f aca="false">TEXT(B485,"yyyy-mm")</f>
        <v>2025-05</v>
      </c>
      <c r="D485" s="12" t="s">
        <v>75</v>
      </c>
      <c r="E485" s="12" t="s">
        <v>76</v>
      </c>
      <c r="F485" s="12" t="s">
        <v>77</v>
      </c>
      <c r="G485" s="14" t="n">
        <v>1600</v>
      </c>
      <c r="H485" s="15" t="n">
        <v>27.86</v>
      </c>
      <c r="I485" s="15" t="n">
        <v>28.67</v>
      </c>
      <c r="J485" s="16" t="n">
        <f aca="false">G485*H485</f>
        <v>44576</v>
      </c>
      <c r="K485" s="16" t="n">
        <f aca="false">(H485-I485)*G485</f>
        <v>-1296</v>
      </c>
      <c r="L485" s="17" t="n">
        <f aca="false">IF(I485=0,0,H485/I485-1)</f>
        <v>-0.0282525287757238</v>
      </c>
      <c r="M485" s="14" t="n">
        <v>1</v>
      </c>
      <c r="N485" s="18" t="n">
        <v>0.027</v>
      </c>
    </row>
    <row r="486" customFormat="false" ht="15" hidden="false" customHeight="false" outlineLevel="0" collapsed="false">
      <c r="A486" s="12" t="s">
        <v>545</v>
      </c>
      <c r="B486" s="13" t="n">
        <v>45807</v>
      </c>
      <c r="C486" s="12" t="str">
        <f aca="false">TEXT(B486,"yyyy-mm")</f>
        <v>2025-05</v>
      </c>
      <c r="D486" s="12" t="s">
        <v>39</v>
      </c>
      <c r="E486" s="12" t="s">
        <v>46</v>
      </c>
      <c r="F486" s="12" t="s">
        <v>47</v>
      </c>
      <c r="G486" s="14" t="n">
        <v>1600</v>
      </c>
      <c r="H486" s="15" t="n">
        <v>20.6</v>
      </c>
      <c r="I486" s="15" t="n">
        <v>20.09</v>
      </c>
      <c r="J486" s="16" t="n">
        <f aca="false">G486*H486</f>
        <v>32960</v>
      </c>
      <c r="K486" s="16" t="n">
        <f aca="false">(H486-I486)*G486</f>
        <v>816.000000000003</v>
      </c>
      <c r="L486" s="17" t="n">
        <f aca="false">IF(I486=0,0,H486/I486-1)</f>
        <v>0.0253857640617223</v>
      </c>
      <c r="M486" s="14" t="n">
        <v>1</v>
      </c>
      <c r="N486" s="18" t="n">
        <v>0.009</v>
      </c>
    </row>
    <row r="487" customFormat="false" ht="15" hidden="false" customHeight="false" outlineLevel="0" collapsed="false">
      <c r="A487" s="12" t="s">
        <v>546</v>
      </c>
      <c r="B487" s="13" t="n">
        <v>45807</v>
      </c>
      <c r="C487" s="12" t="str">
        <f aca="false">TEXT(B487,"yyyy-mm")</f>
        <v>2025-05</v>
      </c>
      <c r="D487" s="12" t="s">
        <v>58</v>
      </c>
      <c r="E487" s="12" t="s">
        <v>59</v>
      </c>
      <c r="F487" s="12" t="s">
        <v>55</v>
      </c>
      <c r="G487" s="14" t="n">
        <v>2000</v>
      </c>
      <c r="H487" s="15" t="n">
        <v>40.65</v>
      </c>
      <c r="I487" s="15" t="n">
        <v>37.47</v>
      </c>
      <c r="J487" s="16" t="n">
        <f aca="false">G487*H487</f>
        <v>81300</v>
      </c>
      <c r="K487" s="16" t="n">
        <f aca="false">(H487-I487)*G487</f>
        <v>6360</v>
      </c>
      <c r="L487" s="17" t="n">
        <f aca="false">IF(I487=0,0,H487/I487-1)</f>
        <v>0.0848678943154524</v>
      </c>
      <c r="M487" s="14" t="n">
        <v>0</v>
      </c>
      <c r="N487" s="18" t="n">
        <v>0.022</v>
      </c>
    </row>
    <row r="488" customFormat="false" ht="15" hidden="false" customHeight="false" outlineLevel="0" collapsed="false">
      <c r="A488" s="12" t="s">
        <v>547</v>
      </c>
      <c r="B488" s="13" t="n">
        <v>45808</v>
      </c>
      <c r="C488" s="12" t="str">
        <f aca="false">TEXT(B488,"yyyy-mm")</f>
        <v>2025-05</v>
      </c>
      <c r="D488" s="12" t="s">
        <v>58</v>
      </c>
      <c r="E488" s="12" t="s">
        <v>59</v>
      </c>
      <c r="F488" s="12" t="s">
        <v>55</v>
      </c>
      <c r="G488" s="14" t="n">
        <v>1200</v>
      </c>
      <c r="H488" s="15" t="n">
        <v>39.21</v>
      </c>
      <c r="I488" s="15" t="n">
        <v>36.64</v>
      </c>
      <c r="J488" s="16" t="n">
        <f aca="false">G488*H488</f>
        <v>47052</v>
      </c>
      <c r="K488" s="16" t="n">
        <f aca="false">(H488-I488)*G488</f>
        <v>3084</v>
      </c>
      <c r="L488" s="17" t="n">
        <f aca="false">IF(I488=0,0,H488/I488-1)</f>
        <v>0.07014192139738</v>
      </c>
      <c r="M488" s="14" t="n">
        <v>1</v>
      </c>
      <c r="N488" s="18" t="n">
        <v>0.036</v>
      </c>
    </row>
    <row r="489" customFormat="false" ht="15" hidden="false" customHeight="false" outlineLevel="0" collapsed="false">
      <c r="A489" s="12" t="s">
        <v>548</v>
      </c>
      <c r="B489" s="13" t="n">
        <v>45808</v>
      </c>
      <c r="C489" s="12" t="str">
        <f aca="false">TEXT(B489,"yyyy-mm")</f>
        <v>2025-05</v>
      </c>
      <c r="D489" s="12" t="s">
        <v>35</v>
      </c>
      <c r="E489" s="12" t="s">
        <v>36</v>
      </c>
      <c r="F489" s="12" t="s">
        <v>37</v>
      </c>
      <c r="G489" s="14" t="n">
        <v>1600</v>
      </c>
      <c r="H489" s="15" t="n">
        <v>16.72</v>
      </c>
      <c r="I489" s="15" t="n">
        <v>16.56</v>
      </c>
      <c r="J489" s="16" t="n">
        <f aca="false">G489*H489</f>
        <v>26752</v>
      </c>
      <c r="K489" s="16" t="n">
        <f aca="false">(H489-I489)*G489</f>
        <v>256</v>
      </c>
      <c r="L489" s="17" t="n">
        <f aca="false">IF(I489=0,0,H489/I489-1)</f>
        <v>0.00966183574879231</v>
      </c>
      <c r="M489" s="14" t="n">
        <v>1</v>
      </c>
      <c r="N489" s="18" t="n">
        <v>0.018</v>
      </c>
    </row>
    <row r="490" customFormat="false" ht="15" hidden="false" customHeight="false" outlineLevel="0" collapsed="false">
      <c r="A490" s="12" t="s">
        <v>549</v>
      </c>
      <c r="B490" s="13" t="n">
        <v>45809</v>
      </c>
      <c r="C490" s="12" t="str">
        <f aca="false">TEXT(B490,"yyyy-mm")</f>
        <v>2025-06</v>
      </c>
      <c r="D490" s="12" t="s">
        <v>80</v>
      </c>
      <c r="E490" s="12" t="s">
        <v>81</v>
      </c>
      <c r="F490" s="12" t="s">
        <v>82</v>
      </c>
      <c r="G490" s="14" t="n">
        <v>400</v>
      </c>
      <c r="H490" s="15" t="n">
        <v>23.05</v>
      </c>
      <c r="I490" s="15" t="n">
        <v>24.46</v>
      </c>
      <c r="J490" s="16" t="n">
        <f aca="false">G490*H490</f>
        <v>9220</v>
      </c>
      <c r="K490" s="16" t="n">
        <f aca="false">(H490-I490)*G490</f>
        <v>-564</v>
      </c>
      <c r="L490" s="17" t="n">
        <f aca="false">IF(I490=0,0,H490/I490-1)</f>
        <v>-0.0576451349141456</v>
      </c>
      <c r="M490" s="14" t="n">
        <v>1</v>
      </c>
      <c r="N490" s="18" t="n">
        <v>0.039</v>
      </c>
    </row>
    <row r="491" customFormat="false" ht="15" hidden="false" customHeight="false" outlineLevel="0" collapsed="false">
      <c r="A491" s="12" t="s">
        <v>550</v>
      </c>
      <c r="B491" s="13" t="n">
        <v>45810</v>
      </c>
      <c r="C491" s="12" t="str">
        <f aca="false">TEXT(B491,"yyyy-mm")</f>
        <v>2025-06</v>
      </c>
      <c r="D491" s="12" t="s">
        <v>58</v>
      </c>
      <c r="E491" s="12" t="s">
        <v>40</v>
      </c>
      <c r="F491" s="12" t="s">
        <v>41</v>
      </c>
      <c r="G491" s="14" t="n">
        <v>200</v>
      </c>
      <c r="H491" s="15" t="n">
        <v>38.43</v>
      </c>
      <c r="I491" s="15" t="n">
        <v>37.46</v>
      </c>
      <c r="J491" s="16" t="n">
        <f aca="false">G491*H491</f>
        <v>7686</v>
      </c>
      <c r="K491" s="16" t="n">
        <f aca="false">(H491-I491)*G491</f>
        <v>194</v>
      </c>
      <c r="L491" s="17" t="n">
        <f aca="false">IF(I491=0,0,H491/I491-1)</f>
        <v>0.0258942872397223</v>
      </c>
      <c r="M491" s="14" t="n">
        <v>1</v>
      </c>
      <c r="N491" s="18" t="n">
        <v>0.024</v>
      </c>
    </row>
    <row r="492" customFormat="false" ht="15" hidden="false" customHeight="false" outlineLevel="0" collapsed="false">
      <c r="A492" s="12" t="s">
        <v>551</v>
      </c>
      <c r="B492" s="13" t="n">
        <v>45810</v>
      </c>
      <c r="C492" s="12" t="str">
        <f aca="false">TEXT(B492,"yyyy-mm")</f>
        <v>2025-06</v>
      </c>
      <c r="D492" s="12" t="s">
        <v>75</v>
      </c>
      <c r="E492" s="12" t="s">
        <v>49</v>
      </c>
      <c r="F492" s="12" t="s">
        <v>50</v>
      </c>
      <c r="G492" s="14" t="n">
        <v>200</v>
      </c>
      <c r="H492" s="15" t="n">
        <v>28.42</v>
      </c>
      <c r="I492" s="15" t="n">
        <v>29.7</v>
      </c>
      <c r="J492" s="16" t="n">
        <f aca="false">G492*H492</f>
        <v>5684</v>
      </c>
      <c r="K492" s="16" t="n">
        <f aca="false">(H492-I492)*G492</f>
        <v>-256</v>
      </c>
      <c r="L492" s="17" t="n">
        <f aca="false">IF(I492=0,0,H492/I492-1)</f>
        <v>-0.043097643097643</v>
      </c>
      <c r="M492" s="14" t="n">
        <v>1</v>
      </c>
      <c r="N492" s="18" t="n">
        <v>0.026</v>
      </c>
    </row>
    <row r="493" customFormat="false" ht="15" hidden="false" customHeight="false" outlineLevel="0" collapsed="false">
      <c r="A493" s="12" t="s">
        <v>552</v>
      </c>
      <c r="B493" s="13" t="n">
        <v>45811</v>
      </c>
      <c r="C493" s="12" t="str">
        <f aca="false">TEXT(B493,"yyyy-mm")</f>
        <v>2025-06</v>
      </c>
      <c r="D493" s="12" t="s">
        <v>61</v>
      </c>
      <c r="E493" s="12" t="s">
        <v>43</v>
      </c>
      <c r="F493" s="12" t="s">
        <v>44</v>
      </c>
      <c r="G493" s="14" t="n">
        <v>1600</v>
      </c>
      <c r="H493" s="15" t="n">
        <v>16.37</v>
      </c>
      <c r="I493" s="15" t="n">
        <v>15.52</v>
      </c>
      <c r="J493" s="16" t="n">
        <f aca="false">G493*H493</f>
        <v>26192</v>
      </c>
      <c r="K493" s="16" t="n">
        <f aca="false">(H493-I493)*G493</f>
        <v>1360</v>
      </c>
      <c r="L493" s="17" t="n">
        <f aca="false">IF(I493=0,0,H493/I493-1)</f>
        <v>0.0547680412371134</v>
      </c>
      <c r="M493" s="14" t="n">
        <v>1</v>
      </c>
      <c r="N493" s="18" t="n">
        <v>0.009</v>
      </c>
    </row>
    <row r="494" customFormat="false" ht="15" hidden="false" customHeight="false" outlineLevel="0" collapsed="false">
      <c r="A494" s="12" t="s">
        <v>553</v>
      </c>
      <c r="B494" s="13" t="n">
        <v>45811</v>
      </c>
      <c r="C494" s="12" t="str">
        <f aca="false">TEXT(B494,"yyyy-mm")</f>
        <v>2025-06</v>
      </c>
      <c r="D494" s="12" t="s">
        <v>39</v>
      </c>
      <c r="E494" s="12" t="s">
        <v>46</v>
      </c>
      <c r="F494" s="12" t="s">
        <v>47</v>
      </c>
      <c r="G494" s="14" t="n">
        <v>200</v>
      </c>
      <c r="H494" s="15" t="n">
        <v>21.83</v>
      </c>
      <c r="I494" s="15" t="n">
        <v>20.64</v>
      </c>
      <c r="J494" s="16" t="n">
        <f aca="false">G494*H494</f>
        <v>4366</v>
      </c>
      <c r="K494" s="16" t="n">
        <f aca="false">(H494-I494)*G494</f>
        <v>238</v>
      </c>
      <c r="L494" s="17" t="n">
        <f aca="false">IF(I494=0,0,H494/I494-1)</f>
        <v>0.0576550387596899</v>
      </c>
      <c r="M494" s="14" t="n">
        <v>1</v>
      </c>
      <c r="N494" s="18" t="n">
        <v>0.01</v>
      </c>
    </row>
    <row r="495" customFormat="false" ht="15" hidden="false" customHeight="false" outlineLevel="0" collapsed="false">
      <c r="A495" s="12" t="s">
        <v>554</v>
      </c>
      <c r="B495" s="13" t="n">
        <v>45811</v>
      </c>
      <c r="C495" s="12" t="str">
        <f aca="false">TEXT(B495,"yyyy-mm")</f>
        <v>2025-06</v>
      </c>
      <c r="D495" s="12" t="s">
        <v>75</v>
      </c>
      <c r="E495" s="12" t="s">
        <v>40</v>
      </c>
      <c r="F495" s="12" t="s">
        <v>41</v>
      </c>
      <c r="G495" s="14" t="n">
        <v>2000</v>
      </c>
      <c r="H495" s="15" t="n">
        <v>28.6</v>
      </c>
      <c r="I495" s="15" t="n">
        <v>28.51</v>
      </c>
      <c r="J495" s="16" t="n">
        <f aca="false">G495*H495</f>
        <v>57200</v>
      </c>
      <c r="K495" s="16" t="n">
        <f aca="false">(H495-I495)*G495</f>
        <v>180</v>
      </c>
      <c r="L495" s="17" t="n">
        <f aca="false">IF(I495=0,0,H495/I495-1)</f>
        <v>0.00315678709224843</v>
      </c>
      <c r="M495" s="14" t="n">
        <v>1</v>
      </c>
      <c r="N495" s="18" t="n">
        <v>0.012</v>
      </c>
    </row>
    <row r="496" customFormat="false" ht="15" hidden="false" customHeight="false" outlineLevel="0" collapsed="false">
      <c r="A496" s="12" t="s">
        <v>555</v>
      </c>
      <c r="B496" s="13" t="n">
        <v>45811</v>
      </c>
      <c r="C496" s="12" t="str">
        <f aca="false">TEXT(B496,"yyyy-mm")</f>
        <v>2025-06</v>
      </c>
      <c r="D496" s="12" t="s">
        <v>35</v>
      </c>
      <c r="E496" s="12" t="s">
        <v>43</v>
      </c>
      <c r="F496" s="12" t="s">
        <v>44</v>
      </c>
      <c r="G496" s="14" t="n">
        <v>2400</v>
      </c>
      <c r="H496" s="15" t="n">
        <v>18.35</v>
      </c>
      <c r="I496" s="15" t="n">
        <v>17.3</v>
      </c>
      <c r="J496" s="16" t="n">
        <f aca="false">G496*H496</f>
        <v>44040</v>
      </c>
      <c r="K496" s="16" t="n">
        <f aca="false">(H496-I496)*G496</f>
        <v>2520</v>
      </c>
      <c r="L496" s="17" t="n">
        <f aca="false">IF(I496=0,0,H496/I496-1)</f>
        <v>0.0606936416184971</v>
      </c>
      <c r="M496" s="14" t="n">
        <v>1</v>
      </c>
      <c r="N496" s="18" t="n">
        <v>0.009</v>
      </c>
    </row>
    <row r="497" customFormat="false" ht="15" hidden="false" customHeight="false" outlineLevel="0" collapsed="false">
      <c r="A497" s="12" t="s">
        <v>556</v>
      </c>
      <c r="B497" s="13" t="n">
        <v>45811</v>
      </c>
      <c r="C497" s="12" t="str">
        <f aca="false">TEXT(B497,"yyyy-mm")</f>
        <v>2025-06</v>
      </c>
      <c r="D497" s="12" t="s">
        <v>53</v>
      </c>
      <c r="E497" s="12" t="s">
        <v>54</v>
      </c>
      <c r="F497" s="12" t="s">
        <v>55</v>
      </c>
      <c r="G497" s="14" t="n">
        <v>400</v>
      </c>
      <c r="H497" s="15" t="n">
        <v>18.08</v>
      </c>
      <c r="I497" s="15" t="n">
        <v>17.38</v>
      </c>
      <c r="J497" s="16" t="n">
        <f aca="false">G497*H497</f>
        <v>7232</v>
      </c>
      <c r="K497" s="16" t="n">
        <f aca="false">(H497-I497)*G497</f>
        <v>280</v>
      </c>
      <c r="L497" s="17" t="n">
        <f aca="false">IF(I497=0,0,H497/I497-1)</f>
        <v>0.0402761795166857</v>
      </c>
      <c r="M497" s="14" t="n">
        <v>1</v>
      </c>
      <c r="N497" s="18" t="n">
        <v>0.009</v>
      </c>
    </row>
    <row r="498" customFormat="false" ht="15" hidden="false" customHeight="false" outlineLevel="0" collapsed="false">
      <c r="A498" s="12" t="s">
        <v>557</v>
      </c>
      <c r="B498" s="13" t="n">
        <v>45811</v>
      </c>
      <c r="C498" s="12" t="str">
        <f aca="false">TEXT(B498,"yyyy-mm")</f>
        <v>2025-06</v>
      </c>
      <c r="D498" s="12" t="s">
        <v>53</v>
      </c>
      <c r="E498" s="12" t="s">
        <v>49</v>
      </c>
      <c r="F498" s="12" t="s">
        <v>50</v>
      </c>
      <c r="G498" s="14" t="n">
        <v>800</v>
      </c>
      <c r="H498" s="15" t="n">
        <v>17.43</v>
      </c>
      <c r="I498" s="15" t="n">
        <v>17.53</v>
      </c>
      <c r="J498" s="16" t="n">
        <f aca="false">G498*H498</f>
        <v>13944</v>
      </c>
      <c r="K498" s="16" t="n">
        <f aca="false">(H498-I498)*G498</f>
        <v>-80.0000000000011</v>
      </c>
      <c r="L498" s="17" t="n">
        <f aca="false">IF(I498=0,0,H498/I498-1)</f>
        <v>-0.00570450656018262</v>
      </c>
      <c r="M498" s="14" t="n">
        <v>1</v>
      </c>
      <c r="N498" s="18" t="n">
        <v>0.026</v>
      </c>
    </row>
    <row r="499" customFormat="false" ht="15" hidden="false" customHeight="false" outlineLevel="0" collapsed="false">
      <c r="A499" s="12" t="s">
        <v>558</v>
      </c>
      <c r="B499" s="13" t="n">
        <v>45811</v>
      </c>
      <c r="C499" s="12" t="str">
        <f aca="false">TEXT(B499,"yyyy-mm")</f>
        <v>2025-06</v>
      </c>
      <c r="D499" s="12" t="s">
        <v>35</v>
      </c>
      <c r="E499" s="12" t="s">
        <v>43</v>
      </c>
      <c r="F499" s="12" t="s">
        <v>44</v>
      </c>
      <c r="G499" s="14" t="n">
        <v>2400</v>
      </c>
      <c r="H499" s="15" t="n">
        <v>17.5</v>
      </c>
      <c r="I499" s="15" t="n">
        <v>16.65</v>
      </c>
      <c r="J499" s="16" t="n">
        <f aca="false">G499*H499</f>
        <v>42000</v>
      </c>
      <c r="K499" s="16" t="n">
        <f aca="false">(H499-I499)*G499</f>
        <v>2040</v>
      </c>
      <c r="L499" s="17" t="n">
        <f aca="false">IF(I499=0,0,H499/I499-1)</f>
        <v>0.0510510510510511</v>
      </c>
      <c r="M499" s="14" t="n">
        <v>1</v>
      </c>
      <c r="N499" s="18" t="n">
        <v>0.012</v>
      </c>
    </row>
    <row r="500" customFormat="false" ht="15" hidden="false" customHeight="false" outlineLevel="0" collapsed="false">
      <c r="A500" s="12" t="s">
        <v>559</v>
      </c>
      <c r="B500" s="13" t="n">
        <v>45811</v>
      </c>
      <c r="C500" s="12" t="str">
        <f aca="false">TEXT(B500,"yyyy-mm")</f>
        <v>2025-06</v>
      </c>
      <c r="D500" s="12" t="s">
        <v>61</v>
      </c>
      <c r="E500" s="12" t="s">
        <v>43</v>
      </c>
      <c r="F500" s="12" t="s">
        <v>44</v>
      </c>
      <c r="G500" s="14" t="n">
        <v>400</v>
      </c>
      <c r="H500" s="15" t="n">
        <v>15.6</v>
      </c>
      <c r="I500" s="15" t="n">
        <v>15.13</v>
      </c>
      <c r="J500" s="16" t="n">
        <f aca="false">G500*H500</f>
        <v>6240</v>
      </c>
      <c r="K500" s="16" t="n">
        <f aca="false">(H500-I500)*G500</f>
        <v>188</v>
      </c>
      <c r="L500" s="17" t="n">
        <f aca="false">IF(I500=0,0,H500/I500-1)</f>
        <v>0.0310641110376735</v>
      </c>
      <c r="M500" s="14" t="n">
        <v>1</v>
      </c>
      <c r="N500" s="18" t="n">
        <v>0.012</v>
      </c>
    </row>
    <row r="501" customFormat="false" ht="15" hidden="false" customHeight="false" outlineLevel="0" collapsed="false">
      <c r="A501" s="12" t="s">
        <v>560</v>
      </c>
      <c r="B501" s="13" t="n">
        <v>45812</v>
      </c>
      <c r="C501" s="12" t="str">
        <f aca="false">TEXT(B501,"yyyy-mm")</f>
        <v>2025-06</v>
      </c>
      <c r="D501" s="12" t="s">
        <v>53</v>
      </c>
      <c r="E501" s="12" t="s">
        <v>54</v>
      </c>
      <c r="F501" s="12" t="s">
        <v>55</v>
      </c>
      <c r="G501" s="14" t="n">
        <v>2000</v>
      </c>
      <c r="H501" s="15" t="n">
        <v>18.18</v>
      </c>
      <c r="I501" s="15" t="n">
        <v>17.2</v>
      </c>
      <c r="J501" s="16" t="n">
        <f aca="false">G501*H501</f>
        <v>36360</v>
      </c>
      <c r="K501" s="16" t="n">
        <f aca="false">(H501-I501)*G501</f>
        <v>1960</v>
      </c>
      <c r="L501" s="17" t="n">
        <f aca="false">IF(I501=0,0,H501/I501-1)</f>
        <v>0.0569767441860465</v>
      </c>
      <c r="M501" s="14" t="n">
        <v>1</v>
      </c>
      <c r="N501" s="18" t="n">
        <v>0.02</v>
      </c>
    </row>
    <row r="502" customFormat="false" ht="15" hidden="false" customHeight="false" outlineLevel="0" collapsed="false">
      <c r="A502" s="12" t="s">
        <v>561</v>
      </c>
      <c r="B502" s="13" t="n">
        <v>45812</v>
      </c>
      <c r="C502" s="12" t="str">
        <f aca="false">TEXT(B502,"yyyy-mm")</f>
        <v>2025-06</v>
      </c>
      <c r="D502" s="12" t="s">
        <v>61</v>
      </c>
      <c r="E502" s="12" t="s">
        <v>43</v>
      </c>
      <c r="F502" s="12" t="s">
        <v>44</v>
      </c>
      <c r="G502" s="14" t="n">
        <v>2000</v>
      </c>
      <c r="H502" s="15" t="n">
        <v>15.27</v>
      </c>
      <c r="I502" s="15" t="n">
        <v>14.96</v>
      </c>
      <c r="J502" s="16" t="n">
        <f aca="false">G502*H502</f>
        <v>30540</v>
      </c>
      <c r="K502" s="16" t="n">
        <f aca="false">(H502-I502)*G502</f>
        <v>619.999999999998</v>
      </c>
      <c r="L502" s="17" t="n">
        <f aca="false">IF(I502=0,0,H502/I502-1)</f>
        <v>0.0207219251336896</v>
      </c>
      <c r="M502" s="14" t="n">
        <v>1</v>
      </c>
      <c r="N502" s="18" t="n">
        <v>0.018</v>
      </c>
    </row>
    <row r="503" customFormat="false" ht="15" hidden="false" customHeight="false" outlineLevel="0" collapsed="false">
      <c r="A503" s="12" t="s">
        <v>562</v>
      </c>
      <c r="B503" s="13" t="n">
        <v>45812</v>
      </c>
      <c r="C503" s="12" t="str">
        <f aca="false">TEXT(B503,"yyyy-mm")</f>
        <v>2025-06</v>
      </c>
      <c r="D503" s="12" t="s">
        <v>53</v>
      </c>
      <c r="E503" s="12" t="s">
        <v>54</v>
      </c>
      <c r="F503" s="12" t="s">
        <v>55</v>
      </c>
      <c r="G503" s="14" t="n">
        <v>600</v>
      </c>
      <c r="H503" s="15" t="n">
        <v>18.18</v>
      </c>
      <c r="I503" s="15" t="n">
        <v>17.34</v>
      </c>
      <c r="J503" s="16" t="n">
        <f aca="false">G503*H503</f>
        <v>10908</v>
      </c>
      <c r="K503" s="16" t="n">
        <f aca="false">(H503-I503)*G503</f>
        <v>504</v>
      </c>
      <c r="L503" s="17" t="n">
        <f aca="false">IF(I503=0,0,H503/I503-1)</f>
        <v>0.0484429065743945</v>
      </c>
      <c r="M503" s="14" t="n">
        <v>1</v>
      </c>
      <c r="N503" s="18" t="n">
        <v>0.014</v>
      </c>
    </row>
    <row r="504" customFormat="false" ht="15" hidden="false" customHeight="false" outlineLevel="0" collapsed="false">
      <c r="A504" s="12" t="s">
        <v>563</v>
      </c>
      <c r="B504" s="13" t="n">
        <v>45812</v>
      </c>
      <c r="C504" s="12" t="str">
        <f aca="false">TEXT(B504,"yyyy-mm")</f>
        <v>2025-06</v>
      </c>
      <c r="D504" s="12" t="s">
        <v>58</v>
      </c>
      <c r="E504" s="12" t="s">
        <v>59</v>
      </c>
      <c r="F504" s="12" t="s">
        <v>55</v>
      </c>
      <c r="G504" s="14" t="n">
        <v>800</v>
      </c>
      <c r="H504" s="15" t="n">
        <v>40.95</v>
      </c>
      <c r="I504" s="15" t="n">
        <v>38.25</v>
      </c>
      <c r="J504" s="16" t="n">
        <f aca="false">G504*H504</f>
        <v>32760</v>
      </c>
      <c r="K504" s="16" t="n">
        <f aca="false">(H504-I504)*G504</f>
        <v>2160</v>
      </c>
      <c r="L504" s="17" t="n">
        <f aca="false">IF(I504=0,0,H504/I504-1)</f>
        <v>0.0705882352941176</v>
      </c>
      <c r="M504" s="14" t="n">
        <v>1</v>
      </c>
      <c r="N504" s="18" t="n">
        <v>0.026</v>
      </c>
    </row>
    <row r="505" customFormat="false" ht="15" hidden="false" customHeight="false" outlineLevel="0" collapsed="false">
      <c r="A505" s="12" t="s">
        <v>564</v>
      </c>
      <c r="B505" s="13" t="n">
        <v>45813</v>
      </c>
      <c r="C505" s="12" t="str">
        <f aca="false">TEXT(B505,"yyyy-mm")</f>
        <v>2025-06</v>
      </c>
      <c r="D505" s="12" t="s">
        <v>39</v>
      </c>
      <c r="E505" s="12" t="s">
        <v>46</v>
      </c>
      <c r="F505" s="12" t="s">
        <v>47</v>
      </c>
      <c r="G505" s="14" t="n">
        <v>200</v>
      </c>
      <c r="H505" s="15" t="n">
        <v>20.59</v>
      </c>
      <c r="I505" s="15" t="n">
        <v>20.07</v>
      </c>
      <c r="J505" s="16" t="n">
        <f aca="false">G505*H505</f>
        <v>4118</v>
      </c>
      <c r="K505" s="16" t="n">
        <f aca="false">(H505-I505)*G505</f>
        <v>104</v>
      </c>
      <c r="L505" s="17" t="n">
        <f aca="false">IF(I505=0,0,H505/I505-1)</f>
        <v>0.025909317389138</v>
      </c>
      <c r="M505" s="14" t="n">
        <v>1</v>
      </c>
      <c r="N505" s="18" t="n">
        <v>0.004</v>
      </c>
    </row>
    <row r="506" customFormat="false" ht="15" hidden="false" customHeight="false" outlineLevel="0" collapsed="false">
      <c r="A506" s="12" t="s">
        <v>565</v>
      </c>
      <c r="B506" s="13" t="n">
        <v>45813</v>
      </c>
      <c r="C506" s="12" t="str">
        <f aca="false">TEXT(B506,"yyyy-mm")</f>
        <v>2025-06</v>
      </c>
      <c r="D506" s="12" t="s">
        <v>53</v>
      </c>
      <c r="E506" s="12" t="s">
        <v>54</v>
      </c>
      <c r="F506" s="12" t="s">
        <v>55</v>
      </c>
      <c r="G506" s="14" t="n">
        <v>2000</v>
      </c>
      <c r="H506" s="15" t="n">
        <v>17.64</v>
      </c>
      <c r="I506" s="15" t="n">
        <v>17.51</v>
      </c>
      <c r="J506" s="16" t="n">
        <f aca="false">G506*H506</f>
        <v>35280</v>
      </c>
      <c r="K506" s="16" t="n">
        <f aca="false">(H506-I506)*G506</f>
        <v>259.999999999998</v>
      </c>
      <c r="L506" s="17" t="n">
        <f aca="false">IF(I506=0,0,H506/I506-1)</f>
        <v>0.00742432895488276</v>
      </c>
      <c r="M506" s="14" t="n">
        <v>1</v>
      </c>
      <c r="N506" s="18" t="n">
        <v>0.011</v>
      </c>
    </row>
    <row r="507" customFormat="false" ht="15" hidden="false" customHeight="false" outlineLevel="0" collapsed="false">
      <c r="A507" s="12" t="s">
        <v>566</v>
      </c>
      <c r="B507" s="13" t="n">
        <v>45813</v>
      </c>
      <c r="C507" s="12" t="str">
        <f aca="false">TEXT(B507,"yyyy-mm")</f>
        <v>2025-06</v>
      </c>
      <c r="D507" s="12" t="s">
        <v>61</v>
      </c>
      <c r="E507" s="12" t="s">
        <v>43</v>
      </c>
      <c r="F507" s="12" t="s">
        <v>44</v>
      </c>
      <c r="G507" s="14" t="n">
        <v>800</v>
      </c>
      <c r="H507" s="15" t="n">
        <v>14.91</v>
      </c>
      <c r="I507" s="15" t="n">
        <v>14.82</v>
      </c>
      <c r="J507" s="16" t="n">
        <f aca="false">G507*H507</f>
        <v>11928</v>
      </c>
      <c r="K507" s="16" t="n">
        <f aca="false">(H507-I507)*G507</f>
        <v>71.9999999999999</v>
      </c>
      <c r="L507" s="17" t="n">
        <f aca="false">IF(I507=0,0,H507/I507-1)</f>
        <v>0.00607287449392713</v>
      </c>
      <c r="M507" s="14" t="n">
        <v>1</v>
      </c>
      <c r="N507" s="18" t="n">
        <v>0.016</v>
      </c>
    </row>
    <row r="508" customFormat="false" ht="15" hidden="false" customHeight="false" outlineLevel="0" collapsed="false">
      <c r="A508" s="12" t="s">
        <v>567</v>
      </c>
      <c r="B508" s="13" t="n">
        <v>45813</v>
      </c>
      <c r="C508" s="12" t="str">
        <f aca="false">TEXT(B508,"yyyy-mm")</f>
        <v>2025-06</v>
      </c>
      <c r="D508" s="12" t="s">
        <v>75</v>
      </c>
      <c r="E508" s="12" t="s">
        <v>76</v>
      </c>
      <c r="F508" s="12" t="s">
        <v>77</v>
      </c>
      <c r="G508" s="14" t="n">
        <v>2000</v>
      </c>
      <c r="H508" s="15" t="n">
        <v>29.37</v>
      </c>
      <c r="I508" s="15" t="n">
        <v>28.61</v>
      </c>
      <c r="J508" s="16" t="n">
        <f aca="false">G508*H508</f>
        <v>58740</v>
      </c>
      <c r="K508" s="16" t="n">
        <f aca="false">(H508-I508)*G508</f>
        <v>1520</v>
      </c>
      <c r="L508" s="17" t="n">
        <f aca="false">IF(I508=0,0,H508/I508-1)</f>
        <v>0.0265641384131423</v>
      </c>
      <c r="M508" s="14" t="n">
        <v>1</v>
      </c>
      <c r="N508" s="18" t="n">
        <v>0.021</v>
      </c>
    </row>
    <row r="509" customFormat="false" ht="15" hidden="false" customHeight="false" outlineLevel="0" collapsed="false">
      <c r="A509" s="12" t="s">
        <v>568</v>
      </c>
      <c r="B509" s="13" t="n">
        <v>45813</v>
      </c>
      <c r="C509" s="12" t="str">
        <f aca="false">TEXT(B509,"yyyy-mm")</f>
        <v>2025-06</v>
      </c>
      <c r="D509" s="12" t="s">
        <v>58</v>
      </c>
      <c r="E509" s="12" t="s">
        <v>76</v>
      </c>
      <c r="F509" s="12" t="s">
        <v>77</v>
      </c>
      <c r="G509" s="14" t="n">
        <v>1000</v>
      </c>
      <c r="H509" s="15" t="n">
        <v>38.84</v>
      </c>
      <c r="I509" s="15" t="n">
        <v>38.56</v>
      </c>
      <c r="J509" s="16" t="n">
        <f aca="false">G509*H509</f>
        <v>38840</v>
      </c>
      <c r="K509" s="16" t="n">
        <f aca="false">(H509-I509)*G509</f>
        <v>280.000000000001</v>
      </c>
      <c r="L509" s="17" t="n">
        <f aca="false">IF(I509=0,0,H509/I509-1)</f>
        <v>0.00726141078838172</v>
      </c>
      <c r="M509" s="14" t="n">
        <v>1</v>
      </c>
      <c r="N509" s="18" t="n">
        <v>0.03</v>
      </c>
    </row>
    <row r="510" customFormat="false" ht="15" hidden="false" customHeight="false" outlineLevel="0" collapsed="false">
      <c r="A510" s="12" t="s">
        <v>569</v>
      </c>
      <c r="B510" s="13" t="n">
        <v>45814</v>
      </c>
      <c r="C510" s="12" t="str">
        <f aca="false">TEXT(B510,"yyyy-mm")</f>
        <v>2025-06</v>
      </c>
      <c r="D510" s="12" t="s">
        <v>39</v>
      </c>
      <c r="E510" s="12" t="s">
        <v>46</v>
      </c>
      <c r="F510" s="12" t="s">
        <v>47</v>
      </c>
      <c r="G510" s="14" t="n">
        <v>200</v>
      </c>
      <c r="H510" s="15" t="n">
        <v>20.67</v>
      </c>
      <c r="I510" s="15" t="n">
        <v>19.6</v>
      </c>
      <c r="J510" s="16" t="n">
        <f aca="false">G510*H510</f>
        <v>4134</v>
      </c>
      <c r="K510" s="16" t="n">
        <f aca="false">(H510-I510)*G510</f>
        <v>214</v>
      </c>
      <c r="L510" s="17" t="n">
        <f aca="false">IF(I510=0,0,H510/I510-1)</f>
        <v>0.0545918367346938</v>
      </c>
      <c r="M510" s="14" t="n">
        <v>1</v>
      </c>
      <c r="N510" s="18" t="n">
        <v>0.009</v>
      </c>
    </row>
    <row r="511" customFormat="false" ht="15" hidden="false" customHeight="false" outlineLevel="0" collapsed="false">
      <c r="A511" s="12" t="s">
        <v>570</v>
      </c>
      <c r="B511" s="13" t="n">
        <v>45814</v>
      </c>
      <c r="C511" s="12" t="str">
        <f aca="false">TEXT(B511,"yyyy-mm")</f>
        <v>2025-06</v>
      </c>
      <c r="D511" s="12" t="s">
        <v>75</v>
      </c>
      <c r="E511" s="12" t="s">
        <v>76</v>
      </c>
      <c r="F511" s="12" t="s">
        <v>77</v>
      </c>
      <c r="G511" s="14" t="n">
        <v>600</v>
      </c>
      <c r="H511" s="15" t="n">
        <v>29.45</v>
      </c>
      <c r="I511" s="15" t="n">
        <v>29.11</v>
      </c>
      <c r="J511" s="16" t="n">
        <f aca="false">G511*H511</f>
        <v>17670</v>
      </c>
      <c r="K511" s="16" t="n">
        <f aca="false">(H511-I511)*G511</f>
        <v>204</v>
      </c>
      <c r="L511" s="17" t="n">
        <f aca="false">IF(I511=0,0,H511/I511-1)</f>
        <v>0.0116798351082101</v>
      </c>
      <c r="M511" s="14" t="n">
        <v>1</v>
      </c>
      <c r="N511" s="18" t="n">
        <v>0.023</v>
      </c>
    </row>
    <row r="512" customFormat="false" ht="15" hidden="false" customHeight="false" outlineLevel="0" collapsed="false">
      <c r="A512" s="12" t="s">
        <v>571</v>
      </c>
      <c r="B512" s="13" t="n">
        <v>45814</v>
      </c>
      <c r="C512" s="12" t="str">
        <f aca="false">TEXT(B512,"yyyy-mm")</f>
        <v>2025-06</v>
      </c>
      <c r="D512" s="12" t="s">
        <v>58</v>
      </c>
      <c r="E512" s="12" t="s">
        <v>76</v>
      </c>
      <c r="F512" s="12" t="s">
        <v>77</v>
      </c>
      <c r="G512" s="14" t="n">
        <v>400</v>
      </c>
      <c r="H512" s="15" t="n">
        <v>39.64</v>
      </c>
      <c r="I512" s="15" t="n">
        <v>38.47</v>
      </c>
      <c r="J512" s="16" t="n">
        <f aca="false">G512*H512</f>
        <v>15856</v>
      </c>
      <c r="K512" s="16" t="n">
        <f aca="false">(H512-I512)*G512</f>
        <v>468.000000000001</v>
      </c>
      <c r="L512" s="17" t="n">
        <f aca="false">IF(I512=0,0,H512/I512-1)</f>
        <v>0.0304133090720042</v>
      </c>
      <c r="M512" s="14" t="n">
        <v>1</v>
      </c>
      <c r="N512" s="18" t="n">
        <v>0.015</v>
      </c>
    </row>
    <row r="513" customFormat="false" ht="15" hidden="false" customHeight="false" outlineLevel="0" collapsed="false">
      <c r="A513" s="12" t="s">
        <v>572</v>
      </c>
      <c r="B513" s="13" t="n">
        <v>45815</v>
      </c>
      <c r="C513" s="12" t="str">
        <f aca="false">TEXT(B513,"yyyy-mm")</f>
        <v>2025-06</v>
      </c>
      <c r="D513" s="12" t="s">
        <v>35</v>
      </c>
      <c r="E513" s="12" t="s">
        <v>36</v>
      </c>
      <c r="F513" s="12" t="s">
        <v>37</v>
      </c>
      <c r="G513" s="14" t="n">
        <v>2000</v>
      </c>
      <c r="H513" s="15" t="n">
        <v>16.19</v>
      </c>
      <c r="I513" s="15" t="n">
        <v>16.86</v>
      </c>
      <c r="J513" s="16" t="n">
        <f aca="false">G513*H513</f>
        <v>32380</v>
      </c>
      <c r="K513" s="16" t="n">
        <f aca="false">(H513-I513)*G513</f>
        <v>-1340</v>
      </c>
      <c r="L513" s="17" t="n">
        <f aca="false">IF(I513=0,0,H513/I513-1)</f>
        <v>-0.0397390272835112</v>
      </c>
      <c r="M513" s="14" t="n">
        <v>1</v>
      </c>
      <c r="N513" s="18" t="n">
        <v>0.008</v>
      </c>
    </row>
    <row r="514" customFormat="false" ht="15" hidden="false" customHeight="false" outlineLevel="0" collapsed="false">
      <c r="A514" s="12" t="s">
        <v>573</v>
      </c>
      <c r="B514" s="13" t="n">
        <v>45816</v>
      </c>
      <c r="C514" s="12" t="str">
        <f aca="false">TEXT(B514,"yyyy-mm")</f>
        <v>2025-06</v>
      </c>
      <c r="D514" s="12" t="s">
        <v>61</v>
      </c>
      <c r="E514" s="12" t="s">
        <v>36</v>
      </c>
      <c r="F514" s="12" t="s">
        <v>37</v>
      </c>
      <c r="G514" s="14" t="n">
        <v>1200</v>
      </c>
      <c r="H514" s="15" t="n">
        <v>15.69</v>
      </c>
      <c r="I514" s="15" t="n">
        <v>15.26</v>
      </c>
      <c r="J514" s="16" t="n">
        <f aca="false">G514*H514</f>
        <v>18828</v>
      </c>
      <c r="K514" s="16" t="n">
        <f aca="false">(H514-I514)*G514</f>
        <v>516</v>
      </c>
      <c r="L514" s="17" t="n">
        <f aca="false">IF(I514=0,0,H514/I514-1)</f>
        <v>0.0281782437745741</v>
      </c>
      <c r="M514" s="14" t="n">
        <v>1</v>
      </c>
      <c r="N514" s="18" t="n">
        <v>0.026</v>
      </c>
    </row>
    <row r="515" customFormat="false" ht="15" hidden="false" customHeight="false" outlineLevel="0" collapsed="false">
      <c r="A515" s="12" t="s">
        <v>574</v>
      </c>
      <c r="B515" s="13" t="n">
        <v>45816</v>
      </c>
      <c r="C515" s="12" t="str">
        <f aca="false">TEXT(B515,"yyyy-mm")</f>
        <v>2025-06</v>
      </c>
      <c r="D515" s="12" t="s">
        <v>53</v>
      </c>
      <c r="E515" s="12" t="s">
        <v>54</v>
      </c>
      <c r="F515" s="12" t="s">
        <v>55</v>
      </c>
      <c r="G515" s="14" t="n">
        <v>1000</v>
      </c>
      <c r="H515" s="15" t="n">
        <v>17.8</v>
      </c>
      <c r="I515" s="15" t="n">
        <v>17.66</v>
      </c>
      <c r="J515" s="16" t="n">
        <f aca="false">G515*H515</f>
        <v>17800</v>
      </c>
      <c r="K515" s="16" t="n">
        <f aca="false">(H515-I515)*G515</f>
        <v>140.000000000001</v>
      </c>
      <c r="L515" s="17" t="n">
        <f aca="false">IF(I515=0,0,H515/I515-1)</f>
        <v>0.00792751981879958</v>
      </c>
      <c r="M515" s="14" t="n">
        <v>1</v>
      </c>
      <c r="N515" s="18" t="n">
        <v>0.016</v>
      </c>
    </row>
    <row r="516" customFormat="false" ht="15" hidden="false" customHeight="false" outlineLevel="0" collapsed="false">
      <c r="A516" s="12" t="s">
        <v>575</v>
      </c>
      <c r="B516" s="13" t="n">
        <v>45816</v>
      </c>
      <c r="C516" s="12" t="str">
        <f aca="false">TEXT(B516,"yyyy-mm")</f>
        <v>2025-06</v>
      </c>
      <c r="D516" s="12" t="s">
        <v>58</v>
      </c>
      <c r="E516" s="12" t="s">
        <v>76</v>
      </c>
      <c r="F516" s="12" t="s">
        <v>77</v>
      </c>
      <c r="G516" s="14" t="n">
        <v>800</v>
      </c>
      <c r="H516" s="15" t="n">
        <v>36.92</v>
      </c>
      <c r="I516" s="15" t="n">
        <v>37.17</v>
      </c>
      <c r="J516" s="16" t="n">
        <f aca="false">G516*H516</f>
        <v>29536</v>
      </c>
      <c r="K516" s="16" t="n">
        <f aca="false">(H516-I516)*G516</f>
        <v>-200</v>
      </c>
      <c r="L516" s="17" t="n">
        <f aca="false">IF(I516=0,0,H516/I516-1)</f>
        <v>-0.00672585418348126</v>
      </c>
      <c r="M516" s="14" t="n">
        <v>1</v>
      </c>
      <c r="N516" s="18" t="n">
        <v>0.018</v>
      </c>
    </row>
    <row r="517" customFormat="false" ht="15" hidden="false" customHeight="false" outlineLevel="0" collapsed="false">
      <c r="A517" s="12" t="s">
        <v>576</v>
      </c>
      <c r="B517" s="13" t="n">
        <v>45816</v>
      </c>
      <c r="C517" s="12" t="str">
        <f aca="false">TEXT(B517,"yyyy-mm")</f>
        <v>2025-06</v>
      </c>
      <c r="D517" s="12" t="s">
        <v>75</v>
      </c>
      <c r="E517" s="12" t="s">
        <v>76</v>
      </c>
      <c r="F517" s="12" t="s">
        <v>77</v>
      </c>
      <c r="G517" s="14" t="n">
        <v>400</v>
      </c>
      <c r="H517" s="15" t="n">
        <v>28.67</v>
      </c>
      <c r="I517" s="15" t="n">
        <v>28.18</v>
      </c>
      <c r="J517" s="16" t="n">
        <f aca="false">G517*H517</f>
        <v>11468</v>
      </c>
      <c r="K517" s="16" t="n">
        <f aca="false">(H517-I517)*G517</f>
        <v>196.000000000001</v>
      </c>
      <c r="L517" s="17" t="n">
        <f aca="false">IF(I517=0,0,H517/I517-1)</f>
        <v>0.017388218594748</v>
      </c>
      <c r="M517" s="14" t="n">
        <v>1</v>
      </c>
      <c r="N517" s="18" t="n">
        <v>0.019</v>
      </c>
    </row>
    <row r="518" customFormat="false" ht="15" hidden="false" customHeight="false" outlineLevel="0" collapsed="false">
      <c r="A518" s="12" t="s">
        <v>577</v>
      </c>
      <c r="B518" s="13" t="n">
        <v>45816</v>
      </c>
      <c r="C518" s="12" t="str">
        <f aca="false">TEXT(B518,"yyyy-mm")</f>
        <v>2025-06</v>
      </c>
      <c r="D518" s="12" t="s">
        <v>111</v>
      </c>
      <c r="E518" s="12" t="s">
        <v>76</v>
      </c>
      <c r="F518" s="12" t="s">
        <v>77</v>
      </c>
      <c r="G518" s="14" t="n">
        <v>400</v>
      </c>
      <c r="H518" s="15" t="n">
        <v>21.33</v>
      </c>
      <c r="I518" s="15" t="n">
        <v>21.65</v>
      </c>
      <c r="J518" s="16" t="n">
        <f aca="false">G518*H518</f>
        <v>8532</v>
      </c>
      <c r="K518" s="16" t="n">
        <f aca="false">(H518-I518)*G518</f>
        <v>-128</v>
      </c>
      <c r="L518" s="17" t="n">
        <f aca="false">IF(I518=0,0,H518/I518-1)</f>
        <v>-0.0147806004618938</v>
      </c>
      <c r="M518" s="14" t="n">
        <v>1</v>
      </c>
      <c r="N518" s="18" t="n">
        <v>0.018</v>
      </c>
    </row>
    <row r="519" customFormat="false" ht="15" hidden="false" customHeight="false" outlineLevel="0" collapsed="false">
      <c r="A519" s="12" t="s">
        <v>578</v>
      </c>
      <c r="B519" s="13" t="n">
        <v>45816</v>
      </c>
      <c r="C519" s="12" t="str">
        <f aca="false">TEXT(B519,"yyyy-mm")</f>
        <v>2025-06</v>
      </c>
      <c r="D519" s="12" t="s">
        <v>35</v>
      </c>
      <c r="E519" s="12" t="s">
        <v>43</v>
      </c>
      <c r="F519" s="12" t="s">
        <v>44</v>
      </c>
      <c r="G519" s="14" t="n">
        <v>4000</v>
      </c>
      <c r="H519" s="15" t="n">
        <v>17.5</v>
      </c>
      <c r="I519" s="15" t="n">
        <v>17.01</v>
      </c>
      <c r="J519" s="16" t="n">
        <f aca="false">G519*H519</f>
        <v>70000</v>
      </c>
      <c r="K519" s="16" t="n">
        <f aca="false">(H519-I519)*G519</f>
        <v>1959.99999999999</v>
      </c>
      <c r="L519" s="17" t="n">
        <f aca="false">IF(I519=0,0,H519/I519-1)</f>
        <v>0.0288065843621399</v>
      </c>
      <c r="M519" s="14" t="n">
        <v>1</v>
      </c>
      <c r="N519" s="18" t="n">
        <v>0.011</v>
      </c>
    </row>
    <row r="520" customFormat="false" ht="15" hidden="false" customHeight="false" outlineLevel="0" collapsed="false">
      <c r="A520" s="12" t="s">
        <v>579</v>
      </c>
      <c r="B520" s="13" t="n">
        <v>45817</v>
      </c>
      <c r="C520" s="12" t="str">
        <f aca="false">TEXT(B520,"yyyy-mm")</f>
        <v>2025-06</v>
      </c>
      <c r="D520" s="12" t="s">
        <v>53</v>
      </c>
      <c r="E520" s="12" t="s">
        <v>54</v>
      </c>
      <c r="F520" s="12" t="s">
        <v>55</v>
      </c>
      <c r="G520" s="14" t="n">
        <v>1600</v>
      </c>
      <c r="H520" s="15" t="n">
        <v>18.79</v>
      </c>
      <c r="I520" s="15" t="n">
        <v>17.85</v>
      </c>
      <c r="J520" s="16" t="n">
        <f aca="false">G520*H520</f>
        <v>30064</v>
      </c>
      <c r="K520" s="16" t="n">
        <f aca="false">(H520-I520)*G520</f>
        <v>1504</v>
      </c>
      <c r="L520" s="17" t="n">
        <f aca="false">IF(I520=0,0,H520/I520-1)</f>
        <v>0.0526610644257701</v>
      </c>
      <c r="M520" s="14" t="n">
        <v>1</v>
      </c>
      <c r="N520" s="18" t="n">
        <v>0.024</v>
      </c>
    </row>
    <row r="521" customFormat="false" ht="15" hidden="false" customHeight="false" outlineLevel="0" collapsed="false">
      <c r="A521" s="12" t="s">
        <v>580</v>
      </c>
      <c r="B521" s="13" t="n">
        <v>45817</v>
      </c>
      <c r="C521" s="12" t="str">
        <f aca="false">TEXT(B521,"yyyy-mm")</f>
        <v>2025-06</v>
      </c>
      <c r="D521" s="12" t="s">
        <v>35</v>
      </c>
      <c r="E521" s="12" t="s">
        <v>43</v>
      </c>
      <c r="F521" s="12" t="s">
        <v>44</v>
      </c>
      <c r="G521" s="14" t="n">
        <v>1200</v>
      </c>
      <c r="H521" s="15" t="n">
        <v>17.48</v>
      </c>
      <c r="I521" s="15" t="n">
        <v>16.64</v>
      </c>
      <c r="J521" s="16" t="n">
        <f aca="false">G521*H521</f>
        <v>20976</v>
      </c>
      <c r="K521" s="16" t="n">
        <f aca="false">(H521-I521)*G521</f>
        <v>1008</v>
      </c>
      <c r="L521" s="17" t="n">
        <f aca="false">IF(I521=0,0,H521/I521-1)</f>
        <v>0.0504807692307692</v>
      </c>
      <c r="M521" s="14" t="n">
        <v>1</v>
      </c>
      <c r="N521" s="18" t="n">
        <v>0.01</v>
      </c>
    </row>
    <row r="522" customFormat="false" ht="15" hidden="false" customHeight="false" outlineLevel="0" collapsed="false">
      <c r="A522" s="12" t="s">
        <v>581</v>
      </c>
      <c r="B522" s="13" t="n">
        <v>45817</v>
      </c>
      <c r="C522" s="12" t="str">
        <f aca="false">TEXT(B522,"yyyy-mm")</f>
        <v>2025-06</v>
      </c>
      <c r="D522" s="12" t="s">
        <v>58</v>
      </c>
      <c r="E522" s="12" t="s">
        <v>76</v>
      </c>
      <c r="F522" s="12" t="s">
        <v>77</v>
      </c>
      <c r="G522" s="14" t="n">
        <v>2000</v>
      </c>
      <c r="H522" s="15" t="n">
        <v>40.09</v>
      </c>
      <c r="I522" s="15" t="n">
        <v>38.83</v>
      </c>
      <c r="J522" s="16" t="n">
        <f aca="false">G522*H522</f>
        <v>80180</v>
      </c>
      <c r="K522" s="16" t="n">
        <f aca="false">(H522-I522)*G522</f>
        <v>2520.00000000001</v>
      </c>
      <c r="L522" s="17" t="n">
        <f aca="false">IF(I522=0,0,H522/I522-1)</f>
        <v>0.0324491372650013</v>
      </c>
      <c r="M522" s="14" t="n">
        <v>1</v>
      </c>
      <c r="N522" s="18" t="n">
        <v>0.018</v>
      </c>
    </row>
    <row r="523" customFormat="false" ht="15" hidden="false" customHeight="false" outlineLevel="0" collapsed="false">
      <c r="A523" s="12" t="s">
        <v>582</v>
      </c>
      <c r="B523" s="13" t="n">
        <v>45817</v>
      </c>
      <c r="C523" s="12" t="str">
        <f aca="false">TEXT(B523,"yyyy-mm")</f>
        <v>2025-06</v>
      </c>
      <c r="D523" s="12" t="s">
        <v>53</v>
      </c>
      <c r="E523" s="12" t="s">
        <v>54</v>
      </c>
      <c r="F523" s="12" t="s">
        <v>55</v>
      </c>
      <c r="G523" s="14" t="n">
        <v>400</v>
      </c>
      <c r="H523" s="15" t="n">
        <v>18.11</v>
      </c>
      <c r="I523" s="15" t="n">
        <v>17.85</v>
      </c>
      <c r="J523" s="16" t="n">
        <f aca="false">G523*H523</f>
        <v>7244</v>
      </c>
      <c r="K523" s="16" t="n">
        <f aca="false">(H523-I523)*G523</f>
        <v>103.999999999999</v>
      </c>
      <c r="L523" s="17" t="n">
        <f aca="false">IF(I523=0,0,H523/I523-1)</f>
        <v>0.0145658263305322</v>
      </c>
      <c r="M523" s="14" t="n">
        <v>1</v>
      </c>
      <c r="N523" s="18" t="n">
        <v>0.013</v>
      </c>
    </row>
    <row r="524" customFormat="false" ht="15" hidden="false" customHeight="false" outlineLevel="0" collapsed="false">
      <c r="A524" s="12" t="s">
        <v>583</v>
      </c>
      <c r="B524" s="13" t="n">
        <v>45818</v>
      </c>
      <c r="C524" s="12" t="str">
        <f aca="false">TEXT(B524,"yyyy-mm")</f>
        <v>2025-06</v>
      </c>
      <c r="D524" s="12" t="s">
        <v>39</v>
      </c>
      <c r="E524" s="12" t="s">
        <v>49</v>
      </c>
      <c r="F524" s="12" t="s">
        <v>50</v>
      </c>
      <c r="G524" s="14" t="n">
        <v>600</v>
      </c>
      <c r="H524" s="15" t="n">
        <v>20.87</v>
      </c>
      <c r="I524" s="15" t="n">
        <v>20.48</v>
      </c>
      <c r="J524" s="16" t="n">
        <f aca="false">G524*H524</f>
        <v>12522</v>
      </c>
      <c r="K524" s="16" t="n">
        <f aca="false">(H524-I524)*G524</f>
        <v>234</v>
      </c>
      <c r="L524" s="17" t="n">
        <f aca="false">IF(I524=0,0,H524/I524-1)</f>
        <v>0.01904296875</v>
      </c>
      <c r="M524" s="14" t="n">
        <v>1</v>
      </c>
      <c r="N524" s="18" t="n">
        <v>0.037</v>
      </c>
    </row>
    <row r="525" customFormat="false" ht="15" hidden="false" customHeight="false" outlineLevel="0" collapsed="false">
      <c r="A525" s="12" t="s">
        <v>584</v>
      </c>
      <c r="B525" s="13" t="n">
        <v>45818</v>
      </c>
      <c r="C525" s="12" t="str">
        <f aca="false">TEXT(B525,"yyyy-mm")</f>
        <v>2025-06</v>
      </c>
      <c r="D525" s="12" t="s">
        <v>75</v>
      </c>
      <c r="E525" s="12" t="s">
        <v>76</v>
      </c>
      <c r="F525" s="12" t="s">
        <v>77</v>
      </c>
      <c r="G525" s="14" t="n">
        <v>2000</v>
      </c>
      <c r="H525" s="15" t="n">
        <v>29.13</v>
      </c>
      <c r="I525" s="15" t="n">
        <v>29.36</v>
      </c>
      <c r="J525" s="16" t="n">
        <f aca="false">G525*H525</f>
        <v>58260</v>
      </c>
      <c r="K525" s="16" t="n">
        <f aca="false">(H525-I525)*G525</f>
        <v>-460.000000000001</v>
      </c>
      <c r="L525" s="17" t="n">
        <f aca="false">IF(I525=0,0,H525/I525-1)</f>
        <v>-0.0078337874659401</v>
      </c>
      <c r="M525" s="14" t="n">
        <v>1</v>
      </c>
      <c r="N525" s="18" t="n">
        <v>0.043</v>
      </c>
    </row>
    <row r="526" customFormat="false" ht="15" hidden="false" customHeight="false" outlineLevel="0" collapsed="false">
      <c r="A526" s="12" t="s">
        <v>585</v>
      </c>
      <c r="B526" s="13" t="n">
        <v>45818</v>
      </c>
      <c r="C526" s="12" t="str">
        <f aca="false">TEXT(B526,"yyyy-mm")</f>
        <v>2025-06</v>
      </c>
      <c r="D526" s="12" t="s">
        <v>35</v>
      </c>
      <c r="E526" s="12" t="s">
        <v>36</v>
      </c>
      <c r="F526" s="12" t="s">
        <v>37</v>
      </c>
      <c r="G526" s="14" t="n">
        <v>3200</v>
      </c>
      <c r="H526" s="15" t="n">
        <v>17.21</v>
      </c>
      <c r="I526" s="15" t="n">
        <v>17.4</v>
      </c>
      <c r="J526" s="16" t="n">
        <f aca="false">G526*H526</f>
        <v>55072</v>
      </c>
      <c r="K526" s="16" t="n">
        <f aca="false">(H526-I526)*G526</f>
        <v>-607.999999999993</v>
      </c>
      <c r="L526" s="17" t="n">
        <f aca="false">IF(I526=0,0,H526/I526-1)</f>
        <v>-0.010919540229885</v>
      </c>
      <c r="M526" s="14" t="n">
        <v>1</v>
      </c>
      <c r="N526" s="18" t="n">
        <v>0.019</v>
      </c>
    </row>
    <row r="527" customFormat="false" ht="15" hidden="false" customHeight="false" outlineLevel="0" collapsed="false">
      <c r="A527" s="12" t="s">
        <v>586</v>
      </c>
      <c r="B527" s="13" t="n">
        <v>45818</v>
      </c>
      <c r="C527" s="12" t="str">
        <f aca="false">TEXT(B527,"yyyy-mm")</f>
        <v>2025-06</v>
      </c>
      <c r="D527" s="12" t="s">
        <v>35</v>
      </c>
      <c r="E527" s="12" t="s">
        <v>36</v>
      </c>
      <c r="F527" s="12" t="s">
        <v>37</v>
      </c>
      <c r="G527" s="14" t="n">
        <v>800</v>
      </c>
      <c r="H527" s="15" t="n">
        <v>16.85</v>
      </c>
      <c r="I527" s="15" t="n">
        <v>17.49</v>
      </c>
      <c r="J527" s="16" t="n">
        <f aca="false">G527*H527</f>
        <v>13480</v>
      </c>
      <c r="K527" s="16" t="n">
        <f aca="false">(H527-I527)*G527</f>
        <v>-511.999999999998</v>
      </c>
      <c r="L527" s="17" t="n">
        <f aca="false">IF(I527=0,0,H527/I527-1)</f>
        <v>-0.0365923384791308</v>
      </c>
      <c r="M527" s="14" t="n">
        <v>1</v>
      </c>
      <c r="N527" s="18" t="n">
        <v>0.012</v>
      </c>
    </row>
    <row r="528" customFormat="false" ht="15" hidden="false" customHeight="false" outlineLevel="0" collapsed="false">
      <c r="A528" s="12" t="s">
        <v>587</v>
      </c>
      <c r="B528" s="13" t="n">
        <v>45819</v>
      </c>
      <c r="C528" s="12" t="str">
        <f aca="false">TEXT(B528,"yyyy-mm")</f>
        <v>2025-06</v>
      </c>
      <c r="D528" s="12" t="s">
        <v>53</v>
      </c>
      <c r="E528" s="12" t="s">
        <v>54</v>
      </c>
      <c r="F528" s="12" t="s">
        <v>55</v>
      </c>
      <c r="G528" s="14" t="n">
        <v>1200</v>
      </c>
      <c r="H528" s="15" t="n">
        <v>17.41</v>
      </c>
      <c r="I528" s="15" t="n">
        <v>17.19</v>
      </c>
      <c r="J528" s="16" t="n">
        <f aca="false">G528*H528</f>
        <v>20892</v>
      </c>
      <c r="K528" s="16" t="n">
        <f aca="false">(H528-I528)*G528</f>
        <v>263.999999999999</v>
      </c>
      <c r="L528" s="17" t="n">
        <f aca="false">IF(I528=0,0,H528/I528-1)</f>
        <v>0.0127981384525886</v>
      </c>
      <c r="M528" s="14" t="n">
        <v>1</v>
      </c>
      <c r="N528" s="18" t="n">
        <v>0.016</v>
      </c>
    </row>
    <row r="529" customFormat="false" ht="15" hidden="false" customHeight="false" outlineLevel="0" collapsed="false">
      <c r="A529" s="12" t="s">
        <v>588</v>
      </c>
      <c r="B529" s="13" t="n">
        <v>45819</v>
      </c>
      <c r="C529" s="12" t="str">
        <f aca="false">TEXT(B529,"yyyy-mm")</f>
        <v>2025-06</v>
      </c>
      <c r="D529" s="12" t="s">
        <v>58</v>
      </c>
      <c r="E529" s="12" t="s">
        <v>59</v>
      </c>
      <c r="F529" s="12" t="s">
        <v>55</v>
      </c>
      <c r="G529" s="14" t="n">
        <v>200</v>
      </c>
      <c r="H529" s="15" t="n">
        <v>40.54</v>
      </c>
      <c r="I529" s="15" t="n">
        <v>38.47</v>
      </c>
      <c r="J529" s="16" t="n">
        <f aca="false">G529*H529</f>
        <v>8108</v>
      </c>
      <c r="K529" s="16" t="n">
        <f aca="false">(H529-I529)*G529</f>
        <v>414</v>
      </c>
      <c r="L529" s="17" t="n">
        <f aca="false">IF(I529=0,0,H529/I529-1)</f>
        <v>0.0538081622043152</v>
      </c>
      <c r="M529" s="14" t="n">
        <v>1</v>
      </c>
      <c r="N529" s="18" t="n">
        <v>0.012</v>
      </c>
    </row>
    <row r="530" customFormat="false" ht="15" hidden="false" customHeight="false" outlineLevel="0" collapsed="false">
      <c r="A530" s="12" t="s">
        <v>589</v>
      </c>
      <c r="B530" s="13" t="n">
        <v>45819</v>
      </c>
      <c r="C530" s="12" t="str">
        <f aca="false">TEXT(B530,"yyyy-mm")</f>
        <v>2025-06</v>
      </c>
      <c r="D530" s="12" t="s">
        <v>53</v>
      </c>
      <c r="E530" s="12" t="s">
        <v>54</v>
      </c>
      <c r="F530" s="12" t="s">
        <v>55</v>
      </c>
      <c r="G530" s="14" t="n">
        <v>200</v>
      </c>
      <c r="H530" s="15" t="n">
        <v>17.66</v>
      </c>
      <c r="I530" s="15" t="n">
        <v>17.25</v>
      </c>
      <c r="J530" s="16" t="n">
        <f aca="false">G530*H530</f>
        <v>3532</v>
      </c>
      <c r="K530" s="16" t="n">
        <f aca="false">(H530-I530)*G530</f>
        <v>82</v>
      </c>
      <c r="L530" s="17" t="n">
        <f aca="false">IF(I530=0,0,H530/I530-1)</f>
        <v>0.0237681159420291</v>
      </c>
      <c r="M530" s="14" t="n">
        <v>1</v>
      </c>
      <c r="N530" s="18" t="n">
        <v>0.012</v>
      </c>
    </row>
    <row r="531" customFormat="false" ht="15" hidden="false" customHeight="false" outlineLevel="0" collapsed="false">
      <c r="A531" s="12" t="s">
        <v>590</v>
      </c>
      <c r="B531" s="13" t="n">
        <v>45820</v>
      </c>
      <c r="C531" s="12" t="str">
        <f aca="false">TEXT(B531,"yyyy-mm")</f>
        <v>2025-06</v>
      </c>
      <c r="D531" s="12" t="s">
        <v>35</v>
      </c>
      <c r="E531" s="12" t="s">
        <v>43</v>
      </c>
      <c r="F531" s="12" t="s">
        <v>44</v>
      </c>
      <c r="G531" s="14" t="n">
        <v>2000</v>
      </c>
      <c r="H531" s="15" t="n">
        <v>18.56</v>
      </c>
      <c r="I531" s="15" t="n">
        <v>17.4</v>
      </c>
      <c r="J531" s="16" t="n">
        <f aca="false">G531*H531</f>
        <v>37120</v>
      </c>
      <c r="K531" s="16" t="n">
        <f aca="false">(H531-I531)*G531</f>
        <v>2320</v>
      </c>
      <c r="L531" s="17" t="n">
        <f aca="false">IF(I531=0,0,H531/I531-1)</f>
        <v>0.0666666666666667</v>
      </c>
      <c r="M531" s="14" t="n">
        <v>1</v>
      </c>
      <c r="N531" s="18" t="n">
        <v>0.012</v>
      </c>
    </row>
    <row r="532" customFormat="false" ht="15" hidden="false" customHeight="false" outlineLevel="0" collapsed="false">
      <c r="A532" s="12" t="s">
        <v>591</v>
      </c>
      <c r="B532" s="13" t="n">
        <v>45821</v>
      </c>
      <c r="C532" s="12" t="str">
        <f aca="false">TEXT(B532,"yyyy-mm")</f>
        <v>2025-06</v>
      </c>
      <c r="D532" s="12" t="s">
        <v>35</v>
      </c>
      <c r="E532" s="12" t="s">
        <v>43</v>
      </c>
      <c r="F532" s="12" t="s">
        <v>44</v>
      </c>
      <c r="G532" s="14" t="n">
        <v>400</v>
      </c>
      <c r="H532" s="15" t="n">
        <v>17.3</v>
      </c>
      <c r="I532" s="15" t="n">
        <v>16.64</v>
      </c>
      <c r="J532" s="16" t="n">
        <f aca="false">G532*H532</f>
        <v>6920</v>
      </c>
      <c r="K532" s="16" t="n">
        <f aca="false">(H532-I532)*G532</f>
        <v>264</v>
      </c>
      <c r="L532" s="17" t="n">
        <f aca="false">IF(I532=0,0,H532/I532-1)</f>
        <v>0.0396634615384615</v>
      </c>
      <c r="M532" s="14" t="n">
        <v>1</v>
      </c>
      <c r="N532" s="18" t="n">
        <v>0.013</v>
      </c>
    </row>
    <row r="533" customFormat="false" ht="15" hidden="false" customHeight="false" outlineLevel="0" collapsed="false">
      <c r="A533" s="12" t="s">
        <v>592</v>
      </c>
      <c r="B533" s="13" t="n">
        <v>45822</v>
      </c>
      <c r="C533" s="12" t="str">
        <f aca="false">TEXT(B533,"yyyy-mm")</f>
        <v>2025-06</v>
      </c>
      <c r="D533" s="12" t="s">
        <v>61</v>
      </c>
      <c r="E533" s="12" t="s">
        <v>43</v>
      </c>
      <c r="F533" s="12" t="s">
        <v>44</v>
      </c>
      <c r="G533" s="14" t="n">
        <v>2000</v>
      </c>
      <c r="H533" s="15" t="n">
        <v>16.03</v>
      </c>
      <c r="I533" s="15" t="n">
        <v>15.38</v>
      </c>
      <c r="J533" s="16" t="n">
        <f aca="false">G533*H533</f>
        <v>32060</v>
      </c>
      <c r="K533" s="16" t="n">
        <f aca="false">(H533-I533)*G533</f>
        <v>1300</v>
      </c>
      <c r="L533" s="17" t="n">
        <f aca="false">IF(I533=0,0,H533/I533-1)</f>
        <v>0.0422626788036411</v>
      </c>
      <c r="M533" s="14" t="n">
        <v>1</v>
      </c>
      <c r="N533" s="18" t="n">
        <v>0.012</v>
      </c>
    </row>
    <row r="534" customFormat="false" ht="15" hidden="false" customHeight="false" outlineLevel="0" collapsed="false">
      <c r="A534" s="12" t="s">
        <v>593</v>
      </c>
      <c r="B534" s="13" t="n">
        <v>45822</v>
      </c>
      <c r="C534" s="12" t="str">
        <f aca="false">TEXT(B534,"yyyy-mm")</f>
        <v>2025-06</v>
      </c>
      <c r="D534" s="12" t="s">
        <v>53</v>
      </c>
      <c r="E534" s="12" t="s">
        <v>54</v>
      </c>
      <c r="F534" s="12" t="s">
        <v>55</v>
      </c>
      <c r="G534" s="14" t="n">
        <v>400</v>
      </c>
      <c r="H534" s="15" t="n">
        <v>17.92</v>
      </c>
      <c r="I534" s="15" t="n">
        <v>17.57</v>
      </c>
      <c r="J534" s="16" t="n">
        <f aca="false">G534*H534</f>
        <v>7168</v>
      </c>
      <c r="K534" s="16" t="n">
        <f aca="false">(H534-I534)*G534</f>
        <v>140.000000000001</v>
      </c>
      <c r="L534" s="17" t="n">
        <f aca="false">IF(I534=0,0,H534/I534-1)</f>
        <v>0.0199203187250996</v>
      </c>
      <c r="M534" s="14" t="n">
        <v>1</v>
      </c>
      <c r="N534" s="18" t="n">
        <v>0.012</v>
      </c>
    </row>
    <row r="535" customFormat="false" ht="15" hidden="false" customHeight="false" outlineLevel="0" collapsed="false">
      <c r="A535" s="12" t="s">
        <v>594</v>
      </c>
      <c r="B535" s="13" t="n">
        <v>45822</v>
      </c>
      <c r="C535" s="12" t="str">
        <f aca="false">TEXT(B535,"yyyy-mm")</f>
        <v>2025-06</v>
      </c>
      <c r="D535" s="12" t="s">
        <v>58</v>
      </c>
      <c r="E535" s="12" t="s">
        <v>59</v>
      </c>
      <c r="F535" s="12" t="s">
        <v>55</v>
      </c>
      <c r="G535" s="14" t="n">
        <v>400</v>
      </c>
      <c r="H535" s="15" t="n">
        <v>41.07</v>
      </c>
      <c r="I535" s="15" t="n">
        <v>37.53</v>
      </c>
      <c r="J535" s="16" t="n">
        <f aca="false">G535*H535</f>
        <v>16428</v>
      </c>
      <c r="K535" s="16" t="n">
        <f aca="false">(H535-I535)*G535</f>
        <v>1416</v>
      </c>
      <c r="L535" s="17" t="n">
        <f aca="false">IF(I535=0,0,H535/I535-1)</f>
        <v>0.0943245403677058</v>
      </c>
      <c r="M535" s="14" t="n">
        <v>1</v>
      </c>
      <c r="N535" s="18" t="n">
        <v>0.027</v>
      </c>
    </row>
    <row r="536" customFormat="false" ht="15" hidden="false" customHeight="false" outlineLevel="0" collapsed="false">
      <c r="A536" s="12" t="s">
        <v>595</v>
      </c>
      <c r="B536" s="13" t="n">
        <v>45822</v>
      </c>
      <c r="C536" s="12" t="str">
        <f aca="false">TEXT(B536,"yyyy-mm")</f>
        <v>2025-06</v>
      </c>
      <c r="D536" s="12" t="s">
        <v>39</v>
      </c>
      <c r="E536" s="12" t="s">
        <v>49</v>
      </c>
      <c r="F536" s="12" t="s">
        <v>50</v>
      </c>
      <c r="G536" s="14" t="n">
        <v>1000</v>
      </c>
      <c r="H536" s="15" t="n">
        <v>19.87</v>
      </c>
      <c r="I536" s="15" t="n">
        <v>19.6</v>
      </c>
      <c r="J536" s="16" t="n">
        <f aca="false">G536*H536</f>
        <v>19870</v>
      </c>
      <c r="K536" s="16" t="n">
        <f aca="false">(H536-I536)*G536</f>
        <v>270</v>
      </c>
      <c r="L536" s="17" t="n">
        <f aca="false">IF(I536=0,0,H536/I536-1)</f>
        <v>0.0137755102040815</v>
      </c>
      <c r="M536" s="14" t="n">
        <v>1</v>
      </c>
      <c r="N536" s="18" t="n">
        <v>0.036</v>
      </c>
    </row>
    <row r="537" customFormat="false" ht="15" hidden="false" customHeight="false" outlineLevel="0" collapsed="false">
      <c r="A537" s="12" t="s">
        <v>596</v>
      </c>
      <c r="B537" s="13" t="n">
        <v>45822</v>
      </c>
      <c r="C537" s="12" t="str">
        <f aca="false">TEXT(B537,"yyyy-mm")</f>
        <v>2025-06</v>
      </c>
      <c r="D537" s="12" t="s">
        <v>80</v>
      </c>
      <c r="E537" s="12" t="s">
        <v>81</v>
      </c>
      <c r="F537" s="12" t="s">
        <v>82</v>
      </c>
      <c r="G537" s="14" t="n">
        <v>200</v>
      </c>
      <c r="H537" s="15" t="n">
        <v>24.29</v>
      </c>
      <c r="I537" s="15" t="n">
        <v>24.88</v>
      </c>
      <c r="J537" s="16" t="n">
        <f aca="false">G537*H537</f>
        <v>4858</v>
      </c>
      <c r="K537" s="16" t="n">
        <f aca="false">(H537-I537)*G537</f>
        <v>-118</v>
      </c>
      <c r="L537" s="17" t="n">
        <f aca="false">IF(I537=0,0,H537/I537-1)</f>
        <v>-0.0237138263665595</v>
      </c>
      <c r="M537" s="14" t="n">
        <v>0</v>
      </c>
      <c r="N537" s="18" t="n">
        <v>0.027</v>
      </c>
    </row>
    <row r="538" customFormat="false" ht="15" hidden="false" customHeight="false" outlineLevel="0" collapsed="false">
      <c r="A538" s="12" t="s">
        <v>597</v>
      </c>
      <c r="B538" s="13" t="n">
        <v>45822</v>
      </c>
      <c r="C538" s="12" t="str">
        <f aca="false">TEXT(B538,"yyyy-mm")</f>
        <v>2025-06</v>
      </c>
      <c r="D538" s="12" t="s">
        <v>53</v>
      </c>
      <c r="E538" s="12" t="s">
        <v>49</v>
      </c>
      <c r="F538" s="12" t="s">
        <v>50</v>
      </c>
      <c r="G538" s="14" t="n">
        <v>1200</v>
      </c>
      <c r="H538" s="15" t="n">
        <v>16.94</v>
      </c>
      <c r="I538" s="15" t="n">
        <v>17.19</v>
      </c>
      <c r="J538" s="16" t="n">
        <f aca="false">G538*H538</f>
        <v>20328</v>
      </c>
      <c r="K538" s="16" t="n">
        <f aca="false">(H538-I538)*G538</f>
        <v>-300</v>
      </c>
      <c r="L538" s="17" t="n">
        <f aca="false">IF(I538=0,0,H538/I538-1)</f>
        <v>-0.014543339150669</v>
      </c>
      <c r="M538" s="14" t="n">
        <v>1</v>
      </c>
      <c r="N538" s="18" t="n">
        <v>0.026</v>
      </c>
    </row>
    <row r="539" customFormat="false" ht="15" hidden="false" customHeight="false" outlineLevel="0" collapsed="false">
      <c r="A539" s="12" t="s">
        <v>598</v>
      </c>
      <c r="B539" s="13" t="n">
        <v>45823</v>
      </c>
      <c r="C539" s="12" t="str">
        <f aca="false">TEXT(B539,"yyyy-mm")</f>
        <v>2025-06</v>
      </c>
      <c r="D539" s="12" t="s">
        <v>58</v>
      </c>
      <c r="E539" s="12" t="s">
        <v>40</v>
      </c>
      <c r="F539" s="12" t="s">
        <v>41</v>
      </c>
      <c r="G539" s="14" t="n">
        <v>1000</v>
      </c>
      <c r="H539" s="15" t="n">
        <v>39.47</v>
      </c>
      <c r="I539" s="15" t="n">
        <v>37.66</v>
      </c>
      <c r="J539" s="16" t="n">
        <f aca="false">G539*H539</f>
        <v>39470</v>
      </c>
      <c r="K539" s="16" t="n">
        <f aca="false">(H539-I539)*G539</f>
        <v>1810</v>
      </c>
      <c r="L539" s="17" t="n">
        <f aca="false">IF(I539=0,0,H539/I539-1)</f>
        <v>0.0480616038236856</v>
      </c>
      <c r="M539" s="14" t="n">
        <v>1</v>
      </c>
      <c r="N539" s="18" t="n">
        <v>0.02</v>
      </c>
    </row>
    <row r="540" customFormat="false" ht="15" hidden="false" customHeight="false" outlineLevel="0" collapsed="false">
      <c r="A540" s="12" t="s">
        <v>599</v>
      </c>
      <c r="B540" s="13" t="n">
        <v>45823</v>
      </c>
      <c r="C540" s="12" t="str">
        <f aca="false">TEXT(B540,"yyyy-mm")</f>
        <v>2025-06</v>
      </c>
      <c r="D540" s="12" t="s">
        <v>80</v>
      </c>
      <c r="E540" s="12" t="s">
        <v>81</v>
      </c>
      <c r="F540" s="12" t="s">
        <v>82</v>
      </c>
      <c r="G540" s="14" t="n">
        <v>1000</v>
      </c>
      <c r="H540" s="15" t="n">
        <v>24.57</v>
      </c>
      <c r="I540" s="15" t="n">
        <v>25.22</v>
      </c>
      <c r="J540" s="16" t="n">
        <f aca="false">G540*H540</f>
        <v>24570</v>
      </c>
      <c r="K540" s="16" t="n">
        <f aca="false">(H540-I540)*G540</f>
        <v>-649.999999999999</v>
      </c>
      <c r="L540" s="17" t="n">
        <f aca="false">IF(I540=0,0,H540/I540-1)</f>
        <v>-0.0257731958762886</v>
      </c>
      <c r="M540" s="14" t="n">
        <v>1</v>
      </c>
      <c r="N540" s="18" t="n">
        <v>0.055</v>
      </c>
    </row>
    <row r="541" customFormat="false" ht="15" hidden="false" customHeight="false" outlineLevel="0" collapsed="false">
      <c r="A541" s="12" t="s">
        <v>600</v>
      </c>
      <c r="B541" s="13" t="n">
        <v>45823</v>
      </c>
      <c r="C541" s="12" t="str">
        <f aca="false">TEXT(B541,"yyyy-mm")</f>
        <v>2025-06</v>
      </c>
      <c r="D541" s="12" t="s">
        <v>39</v>
      </c>
      <c r="E541" s="12" t="s">
        <v>49</v>
      </c>
      <c r="F541" s="12" t="s">
        <v>50</v>
      </c>
      <c r="G541" s="14" t="n">
        <v>600</v>
      </c>
      <c r="H541" s="15" t="n">
        <v>19.82</v>
      </c>
      <c r="I541" s="15" t="n">
        <v>20.22</v>
      </c>
      <c r="J541" s="16" t="n">
        <f aca="false">G541*H541</f>
        <v>11892</v>
      </c>
      <c r="K541" s="16" t="n">
        <f aca="false">(H541-I541)*G541</f>
        <v>-239.999999999999</v>
      </c>
      <c r="L541" s="17" t="n">
        <f aca="false">IF(I541=0,0,H541/I541-1)</f>
        <v>-0.019782393669634</v>
      </c>
      <c r="M541" s="14" t="n">
        <v>1</v>
      </c>
      <c r="N541" s="18" t="n">
        <v>0.027</v>
      </c>
    </row>
    <row r="542" customFormat="false" ht="15" hidden="false" customHeight="false" outlineLevel="0" collapsed="false">
      <c r="A542" s="12" t="s">
        <v>601</v>
      </c>
      <c r="B542" s="13" t="n">
        <v>45823</v>
      </c>
      <c r="C542" s="12" t="str">
        <f aca="false">TEXT(B542,"yyyy-mm")</f>
        <v>2025-06</v>
      </c>
      <c r="D542" s="12" t="s">
        <v>61</v>
      </c>
      <c r="E542" s="12" t="s">
        <v>36</v>
      </c>
      <c r="F542" s="12" t="s">
        <v>37</v>
      </c>
      <c r="G542" s="14" t="n">
        <v>2000</v>
      </c>
      <c r="H542" s="15" t="n">
        <v>14.59</v>
      </c>
      <c r="I542" s="15" t="n">
        <v>14.91</v>
      </c>
      <c r="J542" s="16" t="n">
        <f aca="false">G542*H542</f>
        <v>29180</v>
      </c>
      <c r="K542" s="16" t="n">
        <f aca="false">(H542-I542)*G542</f>
        <v>-640.000000000001</v>
      </c>
      <c r="L542" s="17" t="n">
        <f aca="false">IF(I542=0,0,H542/I542-1)</f>
        <v>-0.0214621059691482</v>
      </c>
      <c r="M542" s="14" t="n">
        <v>1</v>
      </c>
      <c r="N542" s="18" t="n">
        <v>0.024</v>
      </c>
    </row>
    <row r="543" customFormat="false" ht="15" hidden="false" customHeight="false" outlineLevel="0" collapsed="false">
      <c r="A543" s="12" t="s">
        <v>602</v>
      </c>
      <c r="B543" s="13" t="n">
        <v>45824</v>
      </c>
      <c r="C543" s="12" t="str">
        <f aca="false">TEXT(B543,"yyyy-mm")</f>
        <v>2025-06</v>
      </c>
      <c r="D543" s="12" t="s">
        <v>39</v>
      </c>
      <c r="E543" s="12" t="s">
        <v>46</v>
      </c>
      <c r="F543" s="12" t="s">
        <v>47</v>
      </c>
      <c r="G543" s="14" t="n">
        <v>1000</v>
      </c>
      <c r="H543" s="15" t="n">
        <v>21.58</v>
      </c>
      <c r="I543" s="15" t="n">
        <v>20.46</v>
      </c>
      <c r="J543" s="16" t="n">
        <f aca="false">G543*H543</f>
        <v>21580</v>
      </c>
      <c r="K543" s="16" t="n">
        <f aca="false">(H543-I543)*G543</f>
        <v>1120</v>
      </c>
      <c r="L543" s="17" t="n">
        <f aca="false">IF(I543=0,0,H543/I543-1)</f>
        <v>0.0547409579667644</v>
      </c>
      <c r="M543" s="14" t="n">
        <v>1</v>
      </c>
      <c r="N543" s="18" t="n">
        <v>0.009</v>
      </c>
    </row>
    <row r="544" customFormat="false" ht="15" hidden="false" customHeight="false" outlineLevel="0" collapsed="false">
      <c r="A544" s="12" t="s">
        <v>603</v>
      </c>
      <c r="B544" s="13" t="n">
        <v>45824</v>
      </c>
      <c r="C544" s="12" t="str">
        <f aca="false">TEXT(B544,"yyyy-mm")</f>
        <v>2025-06</v>
      </c>
      <c r="D544" s="12" t="s">
        <v>61</v>
      </c>
      <c r="E544" s="12" t="s">
        <v>36</v>
      </c>
      <c r="F544" s="12" t="s">
        <v>37</v>
      </c>
      <c r="G544" s="14" t="n">
        <v>800</v>
      </c>
      <c r="H544" s="15" t="n">
        <v>14.8</v>
      </c>
      <c r="I544" s="15" t="n">
        <v>15.18</v>
      </c>
      <c r="J544" s="16" t="n">
        <f aca="false">G544*H544</f>
        <v>11840</v>
      </c>
      <c r="K544" s="16" t="n">
        <f aca="false">(H544-I544)*G544</f>
        <v>-303.999999999999</v>
      </c>
      <c r="L544" s="17" t="n">
        <f aca="false">IF(I544=0,0,H544/I544-1)</f>
        <v>-0.0250329380764163</v>
      </c>
      <c r="M544" s="14" t="n">
        <v>1</v>
      </c>
      <c r="N544" s="18" t="n">
        <v>0.011</v>
      </c>
    </row>
    <row r="545" customFormat="false" ht="15" hidden="false" customHeight="false" outlineLevel="0" collapsed="false">
      <c r="A545" s="12" t="s">
        <v>604</v>
      </c>
      <c r="B545" s="13" t="n">
        <v>45824</v>
      </c>
      <c r="C545" s="12" t="str">
        <f aca="false">TEXT(B545,"yyyy-mm")</f>
        <v>2025-06</v>
      </c>
      <c r="D545" s="12" t="s">
        <v>53</v>
      </c>
      <c r="E545" s="12" t="s">
        <v>54</v>
      </c>
      <c r="F545" s="12" t="s">
        <v>55</v>
      </c>
      <c r="G545" s="14" t="n">
        <v>800</v>
      </c>
      <c r="H545" s="15" t="n">
        <v>17.61</v>
      </c>
      <c r="I545" s="15" t="n">
        <v>17.48</v>
      </c>
      <c r="J545" s="16" t="n">
        <f aca="false">G545*H545</f>
        <v>14088</v>
      </c>
      <c r="K545" s="16" t="n">
        <f aca="false">(H545-I545)*G545</f>
        <v>103.999999999999</v>
      </c>
      <c r="L545" s="17" t="n">
        <f aca="false">IF(I545=0,0,H545/I545-1)</f>
        <v>0.007437070938215</v>
      </c>
      <c r="M545" s="14" t="n">
        <v>1</v>
      </c>
      <c r="N545" s="18" t="n">
        <v>0.016</v>
      </c>
    </row>
    <row r="546" customFormat="false" ht="15" hidden="false" customHeight="false" outlineLevel="0" collapsed="false">
      <c r="A546" s="12" t="s">
        <v>605</v>
      </c>
      <c r="B546" s="13" t="n">
        <v>45825</v>
      </c>
      <c r="C546" s="12" t="str">
        <f aca="false">TEXT(B546,"yyyy-mm")</f>
        <v>2025-06</v>
      </c>
      <c r="D546" s="12" t="s">
        <v>35</v>
      </c>
      <c r="E546" s="12" t="s">
        <v>43</v>
      </c>
      <c r="F546" s="12" t="s">
        <v>44</v>
      </c>
      <c r="G546" s="14" t="n">
        <v>1600</v>
      </c>
      <c r="H546" s="15" t="n">
        <v>16.98</v>
      </c>
      <c r="I546" s="15" t="n">
        <v>16.69</v>
      </c>
      <c r="J546" s="16" t="n">
        <f aca="false">G546*H546</f>
        <v>27168</v>
      </c>
      <c r="K546" s="16" t="n">
        <f aca="false">(H546-I546)*G546</f>
        <v>463.999999999999</v>
      </c>
      <c r="L546" s="17" t="n">
        <f aca="false">IF(I546=0,0,H546/I546-1)</f>
        <v>0.0173756740563211</v>
      </c>
      <c r="M546" s="14" t="n">
        <v>1</v>
      </c>
      <c r="N546" s="18" t="n">
        <v>0.011</v>
      </c>
    </row>
    <row r="547" customFormat="false" ht="15" hidden="false" customHeight="false" outlineLevel="0" collapsed="false">
      <c r="A547" s="12" t="s">
        <v>606</v>
      </c>
      <c r="B547" s="13" t="n">
        <v>45825</v>
      </c>
      <c r="C547" s="12" t="str">
        <f aca="false">TEXT(B547,"yyyy-mm")</f>
        <v>2025-06</v>
      </c>
      <c r="D547" s="12" t="s">
        <v>39</v>
      </c>
      <c r="E547" s="12" t="s">
        <v>46</v>
      </c>
      <c r="F547" s="12" t="s">
        <v>47</v>
      </c>
      <c r="G547" s="14" t="n">
        <v>800</v>
      </c>
      <c r="H547" s="15" t="n">
        <v>21.22</v>
      </c>
      <c r="I547" s="15" t="n">
        <v>20.32</v>
      </c>
      <c r="J547" s="16" t="n">
        <f aca="false">G547*H547</f>
        <v>16976</v>
      </c>
      <c r="K547" s="16" t="n">
        <f aca="false">(H547-I547)*G547</f>
        <v>719.999999999999</v>
      </c>
      <c r="L547" s="17" t="n">
        <f aca="false">IF(I547=0,0,H547/I547-1)</f>
        <v>0.0442913385826771</v>
      </c>
      <c r="M547" s="14" t="n">
        <v>1</v>
      </c>
      <c r="N547" s="18" t="n">
        <v>0.005</v>
      </c>
    </row>
    <row r="548" customFormat="false" ht="15" hidden="false" customHeight="false" outlineLevel="0" collapsed="false">
      <c r="A548" s="12" t="s">
        <v>607</v>
      </c>
      <c r="B548" s="13" t="n">
        <v>45825</v>
      </c>
      <c r="C548" s="12" t="str">
        <f aca="false">TEXT(B548,"yyyy-mm")</f>
        <v>2025-06</v>
      </c>
      <c r="D548" s="12" t="s">
        <v>53</v>
      </c>
      <c r="E548" s="12" t="s">
        <v>54</v>
      </c>
      <c r="F548" s="12" t="s">
        <v>55</v>
      </c>
      <c r="G548" s="14" t="n">
        <v>800</v>
      </c>
      <c r="H548" s="15" t="n">
        <v>18.08</v>
      </c>
      <c r="I548" s="15" t="n">
        <v>17.47</v>
      </c>
      <c r="J548" s="16" t="n">
        <f aca="false">G548*H548</f>
        <v>14464</v>
      </c>
      <c r="K548" s="16" t="n">
        <f aca="false">(H548-I548)*G548</f>
        <v>488</v>
      </c>
      <c r="L548" s="17" t="n">
        <f aca="false">IF(I548=0,0,H548/I548-1)</f>
        <v>0.0349170005724098</v>
      </c>
      <c r="M548" s="14" t="n">
        <v>0</v>
      </c>
      <c r="N548" s="18" t="n">
        <v>0.014</v>
      </c>
    </row>
    <row r="549" customFormat="false" ht="15" hidden="false" customHeight="false" outlineLevel="0" collapsed="false">
      <c r="A549" s="12" t="s">
        <v>608</v>
      </c>
      <c r="B549" s="13" t="n">
        <v>45825</v>
      </c>
      <c r="C549" s="12" t="str">
        <f aca="false">TEXT(B549,"yyyy-mm")</f>
        <v>2025-06</v>
      </c>
      <c r="D549" s="12" t="s">
        <v>58</v>
      </c>
      <c r="E549" s="12" t="s">
        <v>40</v>
      </c>
      <c r="F549" s="12" t="s">
        <v>41</v>
      </c>
      <c r="G549" s="14" t="n">
        <v>1000</v>
      </c>
      <c r="H549" s="15" t="n">
        <v>39.09</v>
      </c>
      <c r="I549" s="15" t="n">
        <v>37.83</v>
      </c>
      <c r="J549" s="16" t="n">
        <f aca="false">G549*H549</f>
        <v>39090</v>
      </c>
      <c r="K549" s="16" t="n">
        <f aca="false">(H549-I549)*G549</f>
        <v>1260.00000000001</v>
      </c>
      <c r="L549" s="17" t="n">
        <f aca="false">IF(I549=0,0,H549/I549-1)</f>
        <v>0.0333068992862808</v>
      </c>
      <c r="M549" s="14" t="n">
        <v>1</v>
      </c>
      <c r="N549" s="18" t="n">
        <v>0.019</v>
      </c>
    </row>
    <row r="550" customFormat="false" ht="15" hidden="false" customHeight="false" outlineLevel="0" collapsed="false">
      <c r="A550" s="12" t="s">
        <v>609</v>
      </c>
      <c r="B550" s="13" t="n">
        <v>45826</v>
      </c>
      <c r="C550" s="12" t="str">
        <f aca="false">TEXT(B550,"yyyy-mm")</f>
        <v>2025-06</v>
      </c>
      <c r="D550" s="12" t="s">
        <v>35</v>
      </c>
      <c r="E550" s="12" t="s">
        <v>43</v>
      </c>
      <c r="F550" s="12" t="s">
        <v>44</v>
      </c>
      <c r="G550" s="14" t="n">
        <v>4000</v>
      </c>
      <c r="H550" s="15" t="n">
        <v>17.6</v>
      </c>
      <c r="I550" s="15" t="n">
        <v>17.51</v>
      </c>
      <c r="J550" s="16" t="n">
        <f aca="false">G550*H550</f>
        <v>70400</v>
      </c>
      <c r="K550" s="16" t="n">
        <f aca="false">(H550-I550)*G550</f>
        <v>359.999999999999</v>
      </c>
      <c r="L550" s="17" t="n">
        <f aca="false">IF(I550=0,0,H550/I550-1)</f>
        <v>0.00513992004568808</v>
      </c>
      <c r="M550" s="14" t="n">
        <v>1</v>
      </c>
      <c r="N550" s="18" t="n">
        <v>0.005</v>
      </c>
    </row>
    <row r="551" customFormat="false" ht="15" hidden="false" customHeight="false" outlineLevel="0" collapsed="false">
      <c r="A551" s="12" t="s">
        <v>610</v>
      </c>
      <c r="B551" s="13" t="n">
        <v>45826</v>
      </c>
      <c r="C551" s="12" t="str">
        <f aca="false">TEXT(B551,"yyyy-mm")</f>
        <v>2025-06</v>
      </c>
      <c r="D551" s="12" t="s">
        <v>53</v>
      </c>
      <c r="E551" s="12" t="s">
        <v>49</v>
      </c>
      <c r="F551" s="12" t="s">
        <v>50</v>
      </c>
      <c r="G551" s="14" t="n">
        <v>1000</v>
      </c>
      <c r="H551" s="15" t="n">
        <v>17.19</v>
      </c>
      <c r="I551" s="15" t="n">
        <v>17.85</v>
      </c>
      <c r="J551" s="16" t="n">
        <f aca="false">G551*H551</f>
        <v>17190</v>
      </c>
      <c r="K551" s="16" t="n">
        <f aca="false">(H551-I551)*G551</f>
        <v>-660</v>
      </c>
      <c r="L551" s="17" t="n">
        <f aca="false">IF(I551=0,0,H551/I551-1)</f>
        <v>-0.0369747899159664</v>
      </c>
      <c r="M551" s="14" t="n">
        <v>1</v>
      </c>
      <c r="N551" s="18" t="n">
        <v>0.025</v>
      </c>
    </row>
    <row r="552" customFormat="false" ht="15" hidden="false" customHeight="false" outlineLevel="0" collapsed="false">
      <c r="A552" s="12" t="s">
        <v>611</v>
      </c>
      <c r="B552" s="13" t="n">
        <v>45826</v>
      </c>
      <c r="C552" s="12" t="str">
        <f aca="false">TEXT(B552,"yyyy-mm")</f>
        <v>2025-06</v>
      </c>
      <c r="D552" s="12" t="s">
        <v>53</v>
      </c>
      <c r="E552" s="12" t="s">
        <v>54</v>
      </c>
      <c r="F552" s="12" t="s">
        <v>55</v>
      </c>
      <c r="G552" s="14" t="n">
        <v>800</v>
      </c>
      <c r="H552" s="15" t="n">
        <v>17.83</v>
      </c>
      <c r="I552" s="15" t="n">
        <v>17.07</v>
      </c>
      <c r="J552" s="16" t="n">
        <f aca="false">G552*H552</f>
        <v>14264</v>
      </c>
      <c r="K552" s="16" t="n">
        <f aca="false">(H552-I552)*G552</f>
        <v>607.999999999998</v>
      </c>
      <c r="L552" s="17" t="n">
        <f aca="false">IF(I552=0,0,H552/I552-1)</f>
        <v>0.0445225541886349</v>
      </c>
      <c r="M552" s="14" t="n">
        <v>1</v>
      </c>
      <c r="N552" s="18" t="n">
        <v>0.008</v>
      </c>
    </row>
    <row r="553" customFormat="false" ht="15" hidden="false" customHeight="false" outlineLevel="0" collapsed="false">
      <c r="A553" s="12" t="s">
        <v>612</v>
      </c>
      <c r="B553" s="13" t="n">
        <v>45826</v>
      </c>
      <c r="C553" s="12" t="str">
        <f aca="false">TEXT(B553,"yyyy-mm")</f>
        <v>2025-06</v>
      </c>
      <c r="D553" s="12" t="s">
        <v>35</v>
      </c>
      <c r="E553" s="12" t="s">
        <v>43</v>
      </c>
      <c r="F553" s="12" t="s">
        <v>44</v>
      </c>
      <c r="G553" s="14" t="n">
        <v>800</v>
      </c>
      <c r="H553" s="15" t="n">
        <v>17.97</v>
      </c>
      <c r="I553" s="15" t="n">
        <v>17.62</v>
      </c>
      <c r="J553" s="16" t="n">
        <f aca="false">G553*H553</f>
        <v>14376</v>
      </c>
      <c r="K553" s="16" t="n">
        <f aca="false">(H553-I553)*G553</f>
        <v>279.999999999998</v>
      </c>
      <c r="L553" s="17" t="n">
        <f aca="false">IF(I553=0,0,H553/I553-1)</f>
        <v>0.0198637911464243</v>
      </c>
      <c r="M553" s="14" t="n">
        <v>1</v>
      </c>
      <c r="N553" s="18" t="n">
        <v>0</v>
      </c>
    </row>
    <row r="554" customFormat="false" ht="15" hidden="false" customHeight="false" outlineLevel="0" collapsed="false">
      <c r="A554" s="12" t="s">
        <v>613</v>
      </c>
      <c r="B554" s="13" t="n">
        <v>45826</v>
      </c>
      <c r="C554" s="12" t="str">
        <f aca="false">TEXT(B554,"yyyy-mm")</f>
        <v>2025-06</v>
      </c>
      <c r="D554" s="12" t="s">
        <v>61</v>
      </c>
      <c r="E554" s="12" t="s">
        <v>36</v>
      </c>
      <c r="F554" s="12" t="s">
        <v>37</v>
      </c>
      <c r="G554" s="14" t="n">
        <v>2000</v>
      </c>
      <c r="H554" s="15" t="n">
        <v>14.64</v>
      </c>
      <c r="I554" s="15" t="n">
        <v>14.91</v>
      </c>
      <c r="J554" s="16" t="n">
        <f aca="false">G554*H554</f>
        <v>29280</v>
      </c>
      <c r="K554" s="16" t="n">
        <f aca="false">(H554-I554)*G554</f>
        <v>-539.999999999999</v>
      </c>
      <c r="L554" s="17" t="n">
        <f aca="false">IF(I554=0,0,H554/I554-1)</f>
        <v>-0.0181086519114688</v>
      </c>
      <c r="M554" s="14" t="n">
        <v>1</v>
      </c>
      <c r="N554" s="18" t="n">
        <v>0.023</v>
      </c>
    </row>
    <row r="555" customFormat="false" ht="15" hidden="false" customHeight="false" outlineLevel="0" collapsed="false">
      <c r="A555" s="12" t="s">
        <v>614</v>
      </c>
      <c r="B555" s="13" t="n">
        <v>45827</v>
      </c>
      <c r="C555" s="12" t="str">
        <f aca="false">TEXT(B555,"yyyy-mm")</f>
        <v>2025-06</v>
      </c>
      <c r="D555" s="12" t="s">
        <v>61</v>
      </c>
      <c r="E555" s="12" t="s">
        <v>36</v>
      </c>
      <c r="F555" s="12" t="s">
        <v>37</v>
      </c>
      <c r="G555" s="14" t="n">
        <v>800</v>
      </c>
      <c r="H555" s="15" t="n">
        <v>14.8</v>
      </c>
      <c r="I555" s="15" t="n">
        <v>15.16</v>
      </c>
      <c r="J555" s="16" t="n">
        <f aca="false">G555*H555</f>
        <v>11840</v>
      </c>
      <c r="K555" s="16" t="n">
        <f aca="false">(H555-I555)*G555</f>
        <v>-288</v>
      </c>
      <c r="L555" s="17" t="n">
        <f aca="false">IF(I555=0,0,H555/I555-1)</f>
        <v>-0.0237467018469657</v>
      </c>
      <c r="M555" s="14" t="n">
        <v>1</v>
      </c>
      <c r="N555" s="18" t="n">
        <v>0.021</v>
      </c>
    </row>
    <row r="556" customFormat="false" ht="15" hidden="false" customHeight="false" outlineLevel="0" collapsed="false">
      <c r="A556" s="12" t="s">
        <v>615</v>
      </c>
      <c r="B556" s="13" t="n">
        <v>45827</v>
      </c>
      <c r="C556" s="12" t="str">
        <f aca="false">TEXT(B556,"yyyy-mm")</f>
        <v>2025-06</v>
      </c>
      <c r="D556" s="12" t="s">
        <v>80</v>
      </c>
      <c r="E556" s="12" t="s">
        <v>76</v>
      </c>
      <c r="F556" s="12" t="s">
        <v>77</v>
      </c>
      <c r="G556" s="14" t="n">
        <v>1600</v>
      </c>
      <c r="H556" s="15" t="n">
        <v>24.5</v>
      </c>
      <c r="I556" s="15" t="n">
        <v>24.84</v>
      </c>
      <c r="J556" s="16" t="n">
        <f aca="false">G556*H556</f>
        <v>39200</v>
      </c>
      <c r="K556" s="16" t="n">
        <f aca="false">(H556-I556)*G556</f>
        <v>-544</v>
      </c>
      <c r="L556" s="17" t="n">
        <f aca="false">IF(I556=0,0,H556/I556-1)</f>
        <v>-0.0136876006441223</v>
      </c>
      <c r="M556" s="14" t="n">
        <v>1</v>
      </c>
      <c r="N556" s="18" t="n">
        <v>0.034</v>
      </c>
    </row>
    <row r="557" customFormat="false" ht="15" hidden="false" customHeight="false" outlineLevel="0" collapsed="false">
      <c r="A557" s="12" t="s">
        <v>616</v>
      </c>
      <c r="B557" s="13" t="n">
        <v>45828</v>
      </c>
      <c r="C557" s="12" t="str">
        <f aca="false">TEXT(B557,"yyyy-mm")</f>
        <v>2025-06</v>
      </c>
      <c r="D557" s="12" t="s">
        <v>58</v>
      </c>
      <c r="E557" s="12" t="s">
        <v>76</v>
      </c>
      <c r="F557" s="12" t="s">
        <v>77</v>
      </c>
      <c r="G557" s="14" t="n">
        <v>600</v>
      </c>
      <c r="H557" s="15" t="n">
        <v>39.45</v>
      </c>
      <c r="I557" s="15" t="n">
        <v>39.39</v>
      </c>
      <c r="J557" s="16" t="n">
        <f aca="false">G557*H557</f>
        <v>23670</v>
      </c>
      <c r="K557" s="16" t="n">
        <f aca="false">(H557-I557)*G557</f>
        <v>36.0000000000014</v>
      </c>
      <c r="L557" s="17" t="n">
        <f aca="false">IF(I557=0,0,H557/I557-1)</f>
        <v>0.00152322924600168</v>
      </c>
      <c r="M557" s="14" t="n">
        <v>1</v>
      </c>
      <c r="N557" s="18" t="n">
        <v>0.014</v>
      </c>
    </row>
    <row r="558" customFormat="false" ht="15" hidden="false" customHeight="false" outlineLevel="0" collapsed="false">
      <c r="A558" s="12" t="s">
        <v>617</v>
      </c>
      <c r="B558" s="13" t="n">
        <v>45828</v>
      </c>
      <c r="C558" s="12" t="str">
        <f aca="false">TEXT(B558,"yyyy-mm")</f>
        <v>2025-06</v>
      </c>
      <c r="D558" s="12" t="s">
        <v>39</v>
      </c>
      <c r="E558" s="12" t="s">
        <v>46</v>
      </c>
      <c r="F558" s="12" t="s">
        <v>47</v>
      </c>
      <c r="G558" s="14" t="n">
        <v>600</v>
      </c>
      <c r="H558" s="15" t="n">
        <v>22.59</v>
      </c>
      <c r="I558" s="15" t="n">
        <v>20.75</v>
      </c>
      <c r="J558" s="16" t="n">
        <f aca="false">G558*H558</f>
        <v>13554</v>
      </c>
      <c r="K558" s="16" t="n">
        <f aca="false">(H558-I558)*G558</f>
        <v>1104</v>
      </c>
      <c r="L558" s="17" t="n">
        <f aca="false">IF(I558=0,0,H558/I558-1)</f>
        <v>0.0886746987951808</v>
      </c>
      <c r="M558" s="14" t="n">
        <v>1</v>
      </c>
      <c r="N558" s="18" t="n">
        <v>0.003</v>
      </c>
    </row>
    <row r="559" customFormat="false" ht="15" hidden="false" customHeight="false" outlineLevel="0" collapsed="false">
      <c r="A559" s="12" t="s">
        <v>618</v>
      </c>
      <c r="B559" s="13" t="n">
        <v>45828</v>
      </c>
      <c r="C559" s="12" t="str">
        <f aca="false">TEXT(B559,"yyyy-mm")</f>
        <v>2025-06</v>
      </c>
      <c r="D559" s="12" t="s">
        <v>61</v>
      </c>
      <c r="E559" s="12" t="s">
        <v>43</v>
      </c>
      <c r="F559" s="12" t="s">
        <v>44</v>
      </c>
      <c r="G559" s="14" t="n">
        <v>800</v>
      </c>
      <c r="H559" s="15" t="n">
        <v>14.82</v>
      </c>
      <c r="I559" s="15" t="n">
        <v>14.8</v>
      </c>
      <c r="J559" s="16" t="n">
        <f aca="false">G559*H559</f>
        <v>11856</v>
      </c>
      <c r="K559" s="16" t="n">
        <f aca="false">(H559-I559)*G559</f>
        <v>15.9999999999997</v>
      </c>
      <c r="L559" s="17" t="n">
        <f aca="false">IF(I559=0,0,H559/I559-1)</f>
        <v>0.00135135135135123</v>
      </c>
      <c r="M559" s="14" t="n">
        <v>1</v>
      </c>
      <c r="N559" s="18" t="n">
        <v>0.01</v>
      </c>
    </row>
    <row r="560" customFormat="false" ht="15" hidden="false" customHeight="false" outlineLevel="0" collapsed="false">
      <c r="A560" s="12" t="s">
        <v>619</v>
      </c>
      <c r="B560" s="13" t="n">
        <v>45828</v>
      </c>
      <c r="C560" s="12" t="str">
        <f aca="false">TEXT(B560,"yyyy-mm")</f>
        <v>2025-06</v>
      </c>
      <c r="D560" s="12" t="s">
        <v>53</v>
      </c>
      <c r="E560" s="12" t="s">
        <v>49</v>
      </c>
      <c r="F560" s="12" t="s">
        <v>50</v>
      </c>
      <c r="G560" s="14" t="n">
        <v>1000</v>
      </c>
      <c r="H560" s="15" t="n">
        <v>17.37</v>
      </c>
      <c r="I560" s="15" t="n">
        <v>17.34</v>
      </c>
      <c r="J560" s="16" t="n">
        <f aca="false">G560*H560</f>
        <v>17370</v>
      </c>
      <c r="K560" s="16" t="n">
        <f aca="false">(H560-I560)*G560</f>
        <v>30.0000000000011</v>
      </c>
      <c r="L560" s="17" t="n">
        <f aca="false">IF(I560=0,0,H560/I560-1)</f>
        <v>0.00173010380622851</v>
      </c>
      <c r="M560" s="14" t="n">
        <v>1</v>
      </c>
      <c r="N560" s="18" t="n">
        <v>0.015</v>
      </c>
    </row>
    <row r="561" customFormat="false" ht="15" hidden="false" customHeight="false" outlineLevel="0" collapsed="false">
      <c r="A561" s="12" t="s">
        <v>620</v>
      </c>
      <c r="B561" s="13" t="n">
        <v>45829</v>
      </c>
      <c r="C561" s="12" t="str">
        <f aca="false">TEXT(B561,"yyyy-mm")</f>
        <v>2025-06</v>
      </c>
      <c r="D561" s="12" t="s">
        <v>61</v>
      </c>
      <c r="E561" s="12" t="s">
        <v>36</v>
      </c>
      <c r="F561" s="12" t="s">
        <v>37</v>
      </c>
      <c r="G561" s="14" t="n">
        <v>400</v>
      </c>
      <c r="H561" s="15" t="n">
        <v>15.08</v>
      </c>
      <c r="I561" s="15" t="n">
        <v>15.41</v>
      </c>
      <c r="J561" s="16" t="n">
        <f aca="false">G561*H561</f>
        <v>6032</v>
      </c>
      <c r="K561" s="16" t="n">
        <f aca="false">(H561-I561)*G561</f>
        <v>-132</v>
      </c>
      <c r="L561" s="17" t="n">
        <f aca="false">IF(I561=0,0,H561/I561-1)</f>
        <v>-0.0214146658014277</v>
      </c>
      <c r="M561" s="14" t="n">
        <v>1</v>
      </c>
      <c r="N561" s="18" t="n">
        <v>0.02</v>
      </c>
    </row>
    <row r="562" customFormat="false" ht="15" hidden="false" customHeight="false" outlineLevel="0" collapsed="false">
      <c r="A562" s="12" t="s">
        <v>621</v>
      </c>
      <c r="B562" s="13" t="n">
        <v>45829</v>
      </c>
      <c r="C562" s="12" t="str">
        <f aca="false">TEXT(B562,"yyyy-mm")</f>
        <v>2025-06</v>
      </c>
      <c r="D562" s="12" t="s">
        <v>35</v>
      </c>
      <c r="E562" s="12" t="s">
        <v>36</v>
      </c>
      <c r="F562" s="12" t="s">
        <v>37</v>
      </c>
      <c r="G562" s="14" t="n">
        <v>1600</v>
      </c>
      <c r="H562" s="15" t="n">
        <v>16.61</v>
      </c>
      <c r="I562" s="15" t="n">
        <v>16.67</v>
      </c>
      <c r="J562" s="16" t="n">
        <f aca="false">G562*H562</f>
        <v>26576</v>
      </c>
      <c r="K562" s="16" t="n">
        <f aca="false">(H562-I562)*G562</f>
        <v>-96.0000000000036</v>
      </c>
      <c r="L562" s="17" t="n">
        <f aca="false">IF(I562=0,0,H562/I562-1)</f>
        <v>-0.00359928014397137</v>
      </c>
      <c r="M562" s="14" t="n">
        <v>1</v>
      </c>
      <c r="N562" s="18" t="n">
        <v>0.019</v>
      </c>
    </row>
    <row r="563" customFormat="false" ht="15" hidden="false" customHeight="false" outlineLevel="0" collapsed="false">
      <c r="A563" s="12" t="s">
        <v>622</v>
      </c>
      <c r="B563" s="13" t="n">
        <v>45831</v>
      </c>
      <c r="C563" s="12" t="str">
        <f aca="false">TEXT(B563,"yyyy-mm")</f>
        <v>2025-06</v>
      </c>
      <c r="D563" s="12" t="s">
        <v>35</v>
      </c>
      <c r="E563" s="12" t="s">
        <v>36</v>
      </c>
      <c r="F563" s="12" t="s">
        <v>37</v>
      </c>
      <c r="G563" s="14" t="n">
        <v>800</v>
      </c>
      <c r="H563" s="15" t="n">
        <v>16.37</v>
      </c>
      <c r="I563" s="15" t="n">
        <v>16.83</v>
      </c>
      <c r="J563" s="16" t="n">
        <f aca="false">G563*H563</f>
        <v>13096</v>
      </c>
      <c r="K563" s="16" t="n">
        <f aca="false">(H563-I563)*G563</f>
        <v>-367.999999999998</v>
      </c>
      <c r="L563" s="17" t="n">
        <f aca="false">IF(I563=0,0,H563/I563-1)</f>
        <v>-0.0273321449792037</v>
      </c>
      <c r="M563" s="14" t="n">
        <v>1</v>
      </c>
      <c r="N563" s="18" t="n">
        <v>0.016</v>
      </c>
    </row>
    <row r="564" customFormat="false" ht="15" hidden="false" customHeight="false" outlineLevel="0" collapsed="false">
      <c r="A564" s="12" t="s">
        <v>623</v>
      </c>
      <c r="B564" s="13" t="n">
        <v>45831</v>
      </c>
      <c r="C564" s="12" t="str">
        <f aca="false">TEXT(B564,"yyyy-mm")</f>
        <v>2025-06</v>
      </c>
      <c r="D564" s="12" t="s">
        <v>53</v>
      </c>
      <c r="E564" s="12" t="s">
        <v>54</v>
      </c>
      <c r="F564" s="12" t="s">
        <v>55</v>
      </c>
      <c r="G564" s="14" t="n">
        <v>1200</v>
      </c>
      <c r="H564" s="15" t="n">
        <v>17.09</v>
      </c>
      <c r="I564" s="15" t="n">
        <v>17.24</v>
      </c>
      <c r="J564" s="16" t="n">
        <f aca="false">G564*H564</f>
        <v>20508</v>
      </c>
      <c r="K564" s="16" t="n">
        <f aca="false">(H564-I564)*G564</f>
        <v>-179.999999999998</v>
      </c>
      <c r="L564" s="17" t="n">
        <f aca="false">IF(I564=0,0,H564/I564-1)</f>
        <v>-0.00870069605568435</v>
      </c>
      <c r="M564" s="14" t="n">
        <v>1</v>
      </c>
      <c r="N564" s="18" t="n">
        <v>0.017</v>
      </c>
    </row>
    <row r="565" customFormat="false" ht="15" hidden="false" customHeight="false" outlineLevel="0" collapsed="false">
      <c r="A565" s="12" t="s">
        <v>624</v>
      </c>
      <c r="B565" s="13" t="n">
        <v>45832</v>
      </c>
      <c r="C565" s="12" t="str">
        <f aca="false">TEXT(B565,"yyyy-mm")</f>
        <v>2025-06</v>
      </c>
      <c r="D565" s="12" t="s">
        <v>61</v>
      </c>
      <c r="E565" s="12" t="s">
        <v>36</v>
      </c>
      <c r="F565" s="12" t="s">
        <v>37</v>
      </c>
      <c r="G565" s="14" t="n">
        <v>1000</v>
      </c>
      <c r="H565" s="15" t="n">
        <v>14.43</v>
      </c>
      <c r="I565" s="15" t="n">
        <v>14.81</v>
      </c>
      <c r="J565" s="16" t="n">
        <f aca="false">G565*H565</f>
        <v>14430</v>
      </c>
      <c r="K565" s="16" t="n">
        <f aca="false">(H565-I565)*G565</f>
        <v>-380.000000000001</v>
      </c>
      <c r="L565" s="17" t="n">
        <f aca="false">IF(I565=0,0,H565/I565-1)</f>
        <v>-0.0256583389601621</v>
      </c>
      <c r="M565" s="14" t="n">
        <v>1</v>
      </c>
      <c r="N565" s="18" t="n">
        <v>0.005</v>
      </c>
    </row>
    <row r="566" customFormat="false" ht="15" hidden="false" customHeight="false" outlineLevel="0" collapsed="false">
      <c r="A566" s="12" t="s">
        <v>625</v>
      </c>
      <c r="B566" s="13" t="n">
        <v>45832</v>
      </c>
      <c r="C566" s="12" t="str">
        <f aca="false">TEXT(B566,"yyyy-mm")</f>
        <v>2025-06</v>
      </c>
      <c r="D566" s="12" t="s">
        <v>58</v>
      </c>
      <c r="E566" s="12" t="s">
        <v>59</v>
      </c>
      <c r="F566" s="12" t="s">
        <v>55</v>
      </c>
      <c r="G566" s="14" t="n">
        <v>1200</v>
      </c>
      <c r="H566" s="15" t="n">
        <v>40.5</v>
      </c>
      <c r="I566" s="15" t="n">
        <v>38.02</v>
      </c>
      <c r="J566" s="16" t="n">
        <f aca="false">G566*H566</f>
        <v>48600</v>
      </c>
      <c r="K566" s="16" t="n">
        <f aca="false">(H566-I566)*G566</f>
        <v>2976</v>
      </c>
      <c r="L566" s="17" t="n">
        <f aca="false">IF(I566=0,0,H566/I566-1)</f>
        <v>0.0652288269331929</v>
      </c>
      <c r="M566" s="14" t="n">
        <v>1</v>
      </c>
      <c r="N566" s="18" t="n">
        <v>0.013</v>
      </c>
    </row>
    <row r="567" customFormat="false" ht="15" hidden="false" customHeight="false" outlineLevel="0" collapsed="false">
      <c r="A567" s="12" t="s">
        <v>626</v>
      </c>
      <c r="B567" s="13" t="n">
        <v>45832</v>
      </c>
      <c r="C567" s="12" t="str">
        <f aca="false">TEXT(B567,"yyyy-mm")</f>
        <v>2025-06</v>
      </c>
      <c r="D567" s="12" t="s">
        <v>35</v>
      </c>
      <c r="E567" s="12" t="s">
        <v>43</v>
      </c>
      <c r="F567" s="12" t="s">
        <v>44</v>
      </c>
      <c r="G567" s="14" t="n">
        <v>1600</v>
      </c>
      <c r="H567" s="15" t="n">
        <v>17.74</v>
      </c>
      <c r="I567" s="15" t="n">
        <v>17.55</v>
      </c>
      <c r="J567" s="16" t="n">
        <f aca="false">G567*H567</f>
        <v>28384</v>
      </c>
      <c r="K567" s="16" t="n">
        <f aca="false">(H567-I567)*G567</f>
        <v>303.999999999996</v>
      </c>
      <c r="L567" s="17" t="n">
        <f aca="false">IF(I567=0,0,H567/I567-1)</f>
        <v>0.0108262108262107</v>
      </c>
      <c r="M567" s="14" t="n">
        <v>1</v>
      </c>
      <c r="N567" s="18" t="n">
        <v>0.018</v>
      </c>
    </row>
    <row r="568" customFormat="false" ht="15" hidden="false" customHeight="false" outlineLevel="0" collapsed="false">
      <c r="A568" s="12" t="s">
        <v>627</v>
      </c>
      <c r="B568" s="13" t="n">
        <v>45832</v>
      </c>
      <c r="C568" s="12" t="str">
        <f aca="false">TEXT(B568,"yyyy-mm")</f>
        <v>2025-06</v>
      </c>
      <c r="D568" s="12" t="s">
        <v>75</v>
      </c>
      <c r="E568" s="12" t="s">
        <v>76</v>
      </c>
      <c r="F568" s="12" t="s">
        <v>77</v>
      </c>
      <c r="G568" s="14" t="n">
        <v>1600</v>
      </c>
      <c r="H568" s="15" t="n">
        <v>28.85</v>
      </c>
      <c r="I568" s="15" t="n">
        <v>29.41</v>
      </c>
      <c r="J568" s="16" t="n">
        <f aca="false">G568*H568</f>
        <v>46160</v>
      </c>
      <c r="K568" s="16" t="n">
        <f aca="false">(H568-I568)*G568</f>
        <v>-895.999999999998</v>
      </c>
      <c r="L568" s="17" t="n">
        <f aca="false">IF(I568=0,0,H568/I568-1)</f>
        <v>-0.019041142468548</v>
      </c>
      <c r="M568" s="14" t="n">
        <v>0</v>
      </c>
      <c r="N568" s="18" t="n">
        <v>0.026</v>
      </c>
    </row>
    <row r="569" customFormat="false" ht="15" hidden="false" customHeight="false" outlineLevel="0" collapsed="false">
      <c r="A569" s="12" t="s">
        <v>628</v>
      </c>
      <c r="B569" s="13" t="n">
        <v>45832</v>
      </c>
      <c r="C569" s="12" t="str">
        <f aca="false">TEXT(B569,"yyyy-mm")</f>
        <v>2025-06</v>
      </c>
      <c r="D569" s="12" t="s">
        <v>80</v>
      </c>
      <c r="E569" s="12" t="s">
        <v>81</v>
      </c>
      <c r="F569" s="12" t="s">
        <v>82</v>
      </c>
      <c r="G569" s="14" t="n">
        <v>600</v>
      </c>
      <c r="H569" s="15" t="n">
        <v>23.6</v>
      </c>
      <c r="I569" s="15" t="n">
        <v>24.89</v>
      </c>
      <c r="J569" s="16" t="n">
        <f aca="false">G569*H569</f>
        <v>14160</v>
      </c>
      <c r="K569" s="16" t="n">
        <f aca="false">(H569-I569)*G569</f>
        <v>-774</v>
      </c>
      <c r="L569" s="17" t="n">
        <f aca="false">IF(I569=0,0,H569/I569-1)</f>
        <v>-0.0518280433909201</v>
      </c>
      <c r="M569" s="14" t="n">
        <v>1</v>
      </c>
      <c r="N569" s="18" t="n">
        <v>0.031</v>
      </c>
    </row>
    <row r="570" customFormat="false" ht="15" hidden="false" customHeight="false" outlineLevel="0" collapsed="false">
      <c r="A570" s="12" t="s">
        <v>629</v>
      </c>
      <c r="B570" s="13" t="n">
        <v>45832</v>
      </c>
      <c r="C570" s="12" t="str">
        <f aca="false">TEXT(B570,"yyyy-mm")</f>
        <v>2025-06</v>
      </c>
      <c r="D570" s="12" t="s">
        <v>61</v>
      </c>
      <c r="E570" s="12" t="s">
        <v>43</v>
      </c>
      <c r="F570" s="12" t="s">
        <v>44</v>
      </c>
      <c r="G570" s="14" t="n">
        <v>1000</v>
      </c>
      <c r="H570" s="15" t="n">
        <v>15</v>
      </c>
      <c r="I570" s="15" t="n">
        <v>14.89</v>
      </c>
      <c r="J570" s="16" t="n">
        <f aca="false">G570*H570</f>
        <v>15000</v>
      </c>
      <c r="K570" s="16" t="n">
        <f aca="false">(H570-I570)*G570</f>
        <v>109.999999999999</v>
      </c>
      <c r="L570" s="17" t="n">
        <f aca="false">IF(I570=0,0,H570/I570-1)</f>
        <v>0.00738750839489577</v>
      </c>
      <c r="M570" s="14" t="n">
        <v>1</v>
      </c>
      <c r="N570" s="18" t="n">
        <v>0.016</v>
      </c>
    </row>
    <row r="571" customFormat="false" ht="15" hidden="false" customHeight="false" outlineLevel="0" collapsed="false">
      <c r="A571" s="12" t="s">
        <v>630</v>
      </c>
      <c r="B571" s="13" t="n">
        <v>45833</v>
      </c>
      <c r="C571" s="12" t="str">
        <f aca="false">TEXT(B571,"yyyy-mm")</f>
        <v>2025-06</v>
      </c>
      <c r="D571" s="12" t="s">
        <v>35</v>
      </c>
      <c r="E571" s="12" t="s">
        <v>43</v>
      </c>
      <c r="F571" s="12" t="s">
        <v>44</v>
      </c>
      <c r="G571" s="14" t="n">
        <v>2400</v>
      </c>
      <c r="H571" s="15" t="n">
        <v>17.91</v>
      </c>
      <c r="I571" s="15" t="n">
        <v>17.05</v>
      </c>
      <c r="J571" s="16" t="n">
        <f aca="false">G571*H571</f>
        <v>42984</v>
      </c>
      <c r="K571" s="16" t="n">
        <f aca="false">(H571-I571)*G571</f>
        <v>2064</v>
      </c>
      <c r="L571" s="17" t="n">
        <f aca="false">IF(I571=0,0,H571/I571-1)</f>
        <v>0.0504398826979471</v>
      </c>
      <c r="M571" s="14" t="n">
        <v>1</v>
      </c>
      <c r="N571" s="18" t="n">
        <v>0.009</v>
      </c>
    </row>
    <row r="572" customFormat="false" ht="15" hidden="false" customHeight="false" outlineLevel="0" collapsed="false">
      <c r="A572" s="12" t="s">
        <v>631</v>
      </c>
      <c r="B572" s="13" t="n">
        <v>45833</v>
      </c>
      <c r="C572" s="12" t="str">
        <f aca="false">TEXT(B572,"yyyy-mm")</f>
        <v>2025-06</v>
      </c>
      <c r="D572" s="12" t="s">
        <v>39</v>
      </c>
      <c r="E572" s="12" t="s">
        <v>40</v>
      </c>
      <c r="F572" s="12" t="s">
        <v>41</v>
      </c>
      <c r="G572" s="14" t="n">
        <v>800</v>
      </c>
      <c r="H572" s="15" t="n">
        <v>19.63</v>
      </c>
      <c r="I572" s="15" t="n">
        <v>19.62</v>
      </c>
      <c r="J572" s="16" t="n">
        <f aca="false">G572*H572</f>
        <v>15704</v>
      </c>
      <c r="K572" s="16" t="n">
        <f aca="false">(H572-I572)*G572</f>
        <v>7.99999999999841</v>
      </c>
      <c r="L572" s="17" t="n">
        <f aca="false">IF(I572=0,0,H572/I572-1)</f>
        <v>0.000509683995922439</v>
      </c>
      <c r="M572" s="14" t="n">
        <v>1</v>
      </c>
      <c r="N572" s="18" t="n">
        <v>0.018</v>
      </c>
    </row>
    <row r="573" customFormat="false" ht="15" hidden="false" customHeight="false" outlineLevel="0" collapsed="false">
      <c r="A573" s="12" t="s">
        <v>632</v>
      </c>
      <c r="B573" s="13" t="n">
        <v>45833</v>
      </c>
      <c r="C573" s="12" t="str">
        <f aca="false">TEXT(B573,"yyyy-mm")</f>
        <v>2025-06</v>
      </c>
      <c r="D573" s="12" t="s">
        <v>80</v>
      </c>
      <c r="E573" s="12" t="s">
        <v>81</v>
      </c>
      <c r="F573" s="12" t="s">
        <v>82</v>
      </c>
      <c r="G573" s="14" t="n">
        <v>1000</v>
      </c>
      <c r="H573" s="15" t="n">
        <v>24.35</v>
      </c>
      <c r="I573" s="15" t="n">
        <v>24.41</v>
      </c>
      <c r="J573" s="16" t="n">
        <f aca="false">G573*H573</f>
        <v>24350</v>
      </c>
      <c r="K573" s="16" t="n">
        <f aca="false">(H573-I573)*G573</f>
        <v>-59.9999999999987</v>
      </c>
      <c r="L573" s="17" t="n">
        <f aca="false">IF(I573=0,0,H573/I573-1)</f>
        <v>-0.00245800901269966</v>
      </c>
      <c r="M573" s="14" t="n">
        <v>1</v>
      </c>
      <c r="N573" s="18" t="n">
        <v>0.05</v>
      </c>
    </row>
    <row r="574" customFormat="false" ht="15" hidden="false" customHeight="false" outlineLevel="0" collapsed="false">
      <c r="A574" s="12" t="s">
        <v>633</v>
      </c>
      <c r="B574" s="13" t="n">
        <v>45833</v>
      </c>
      <c r="C574" s="12" t="str">
        <f aca="false">TEXT(B574,"yyyy-mm")</f>
        <v>2025-06</v>
      </c>
      <c r="D574" s="12" t="s">
        <v>58</v>
      </c>
      <c r="E574" s="12" t="s">
        <v>76</v>
      </c>
      <c r="F574" s="12" t="s">
        <v>77</v>
      </c>
      <c r="G574" s="14" t="n">
        <v>400</v>
      </c>
      <c r="H574" s="15" t="n">
        <v>38.82</v>
      </c>
      <c r="I574" s="15" t="n">
        <v>37.6</v>
      </c>
      <c r="J574" s="16" t="n">
        <f aca="false">G574*H574</f>
        <v>15528</v>
      </c>
      <c r="K574" s="16" t="n">
        <f aca="false">(H574-I574)*G574</f>
        <v>488</v>
      </c>
      <c r="L574" s="17" t="n">
        <f aca="false">IF(I574=0,0,H574/I574-1)</f>
        <v>0.0324468085106382</v>
      </c>
      <c r="M574" s="14" t="n">
        <v>1</v>
      </c>
      <c r="N574" s="18" t="n">
        <v>0.03</v>
      </c>
    </row>
    <row r="575" customFormat="false" ht="15" hidden="false" customHeight="false" outlineLevel="0" collapsed="false">
      <c r="A575" s="12" t="s">
        <v>634</v>
      </c>
      <c r="B575" s="13" t="n">
        <v>45834</v>
      </c>
      <c r="C575" s="12" t="str">
        <f aca="false">TEXT(B575,"yyyy-mm")</f>
        <v>2025-06</v>
      </c>
      <c r="D575" s="12" t="s">
        <v>39</v>
      </c>
      <c r="E575" s="12" t="s">
        <v>49</v>
      </c>
      <c r="F575" s="12" t="s">
        <v>50</v>
      </c>
      <c r="G575" s="14" t="n">
        <v>400</v>
      </c>
      <c r="H575" s="15" t="n">
        <v>19.66</v>
      </c>
      <c r="I575" s="15" t="n">
        <v>20.56</v>
      </c>
      <c r="J575" s="16" t="n">
        <f aca="false">G575*H575</f>
        <v>7864</v>
      </c>
      <c r="K575" s="16" t="n">
        <f aca="false">(H575-I575)*G575</f>
        <v>-359.999999999999</v>
      </c>
      <c r="L575" s="17" t="n">
        <f aca="false">IF(I575=0,0,H575/I575-1)</f>
        <v>-0.0437743190661478</v>
      </c>
      <c r="M575" s="14" t="n">
        <v>1</v>
      </c>
      <c r="N575" s="18" t="n">
        <v>0.028</v>
      </c>
    </row>
    <row r="576" customFormat="false" ht="15" hidden="false" customHeight="false" outlineLevel="0" collapsed="false">
      <c r="A576" s="12" t="s">
        <v>635</v>
      </c>
      <c r="B576" s="13" t="n">
        <v>45835</v>
      </c>
      <c r="C576" s="12" t="str">
        <f aca="false">TEXT(B576,"yyyy-mm")</f>
        <v>2025-06</v>
      </c>
      <c r="D576" s="12" t="s">
        <v>61</v>
      </c>
      <c r="E576" s="12" t="s">
        <v>43</v>
      </c>
      <c r="F576" s="12" t="s">
        <v>44</v>
      </c>
      <c r="G576" s="14" t="n">
        <v>400</v>
      </c>
      <c r="H576" s="15" t="n">
        <v>15.74</v>
      </c>
      <c r="I576" s="15" t="n">
        <v>15.23</v>
      </c>
      <c r="J576" s="16" t="n">
        <f aca="false">G576*H576</f>
        <v>6296</v>
      </c>
      <c r="K576" s="16" t="n">
        <f aca="false">(H576-I576)*G576</f>
        <v>204</v>
      </c>
      <c r="L576" s="17" t="n">
        <f aca="false">IF(I576=0,0,H576/I576-1)</f>
        <v>0.0334865397242286</v>
      </c>
      <c r="M576" s="14" t="n">
        <v>1</v>
      </c>
      <c r="N576" s="18" t="n">
        <v>0.009</v>
      </c>
    </row>
    <row r="577" customFormat="false" ht="15" hidden="false" customHeight="false" outlineLevel="0" collapsed="false">
      <c r="A577" s="12" t="s">
        <v>636</v>
      </c>
      <c r="B577" s="13" t="n">
        <v>45835</v>
      </c>
      <c r="C577" s="12" t="str">
        <f aca="false">TEXT(B577,"yyyy-mm")</f>
        <v>2025-06</v>
      </c>
      <c r="D577" s="12" t="s">
        <v>58</v>
      </c>
      <c r="E577" s="12" t="s">
        <v>40</v>
      </c>
      <c r="F577" s="12" t="s">
        <v>41</v>
      </c>
      <c r="G577" s="14" t="n">
        <v>600</v>
      </c>
      <c r="H577" s="15" t="n">
        <v>39.93</v>
      </c>
      <c r="I577" s="15" t="n">
        <v>39.3</v>
      </c>
      <c r="J577" s="16" t="n">
        <f aca="false">G577*H577</f>
        <v>23958</v>
      </c>
      <c r="K577" s="16" t="n">
        <f aca="false">(H577-I577)*G577</f>
        <v>378.000000000002</v>
      </c>
      <c r="L577" s="17" t="n">
        <f aca="false">IF(I577=0,0,H577/I577-1)</f>
        <v>0.0160305343511451</v>
      </c>
      <c r="M577" s="14" t="n">
        <v>1</v>
      </c>
      <c r="N577" s="18" t="n">
        <v>0.023</v>
      </c>
    </row>
    <row r="578" customFormat="false" ht="15" hidden="false" customHeight="false" outlineLevel="0" collapsed="false">
      <c r="A578" s="12" t="s">
        <v>637</v>
      </c>
      <c r="B578" s="13" t="n">
        <v>45835</v>
      </c>
      <c r="C578" s="12" t="str">
        <f aca="false">TEXT(B578,"yyyy-mm")</f>
        <v>2025-06</v>
      </c>
      <c r="D578" s="12" t="s">
        <v>61</v>
      </c>
      <c r="E578" s="12" t="s">
        <v>36</v>
      </c>
      <c r="F578" s="12" t="s">
        <v>37</v>
      </c>
      <c r="G578" s="14" t="n">
        <v>2000</v>
      </c>
      <c r="H578" s="15" t="n">
        <v>15.14</v>
      </c>
      <c r="I578" s="15" t="n">
        <v>15.17</v>
      </c>
      <c r="J578" s="16" t="n">
        <f aca="false">G578*H578</f>
        <v>30280</v>
      </c>
      <c r="K578" s="16" t="n">
        <f aca="false">(H578-I578)*G578</f>
        <v>-59.9999999999987</v>
      </c>
      <c r="L578" s="17" t="n">
        <f aca="false">IF(I578=0,0,H578/I578-1)</f>
        <v>-0.001977587343441</v>
      </c>
      <c r="M578" s="14" t="n">
        <v>1</v>
      </c>
      <c r="N578" s="18" t="n">
        <v>0.019</v>
      </c>
    </row>
    <row r="579" customFormat="false" ht="15" hidden="false" customHeight="false" outlineLevel="0" collapsed="false">
      <c r="A579" s="12" t="s">
        <v>638</v>
      </c>
      <c r="B579" s="13" t="n">
        <v>45835</v>
      </c>
      <c r="C579" s="12" t="str">
        <f aca="false">TEXT(B579,"yyyy-mm")</f>
        <v>2025-06</v>
      </c>
      <c r="D579" s="12" t="s">
        <v>80</v>
      </c>
      <c r="E579" s="12" t="s">
        <v>81</v>
      </c>
      <c r="F579" s="12" t="s">
        <v>82</v>
      </c>
      <c r="G579" s="14" t="n">
        <v>800</v>
      </c>
      <c r="H579" s="15" t="n">
        <v>23.5</v>
      </c>
      <c r="I579" s="15" t="n">
        <v>24.83</v>
      </c>
      <c r="J579" s="16" t="n">
        <f aca="false">G579*H579</f>
        <v>18800</v>
      </c>
      <c r="K579" s="16" t="n">
        <f aca="false">(H579-I579)*G579</f>
        <v>-1064</v>
      </c>
      <c r="L579" s="17" t="n">
        <f aca="false">IF(I579=0,0,H579/I579-1)</f>
        <v>-0.0535642368103101</v>
      </c>
      <c r="M579" s="14" t="n">
        <v>1</v>
      </c>
      <c r="N579" s="18" t="n">
        <v>0.057</v>
      </c>
    </row>
    <row r="580" customFormat="false" ht="15" hidden="false" customHeight="false" outlineLevel="0" collapsed="false">
      <c r="A580" s="12" t="s">
        <v>639</v>
      </c>
      <c r="B580" s="13" t="n">
        <v>45836</v>
      </c>
      <c r="C580" s="12" t="str">
        <f aca="false">TEXT(B580,"yyyy-mm")</f>
        <v>2025-06</v>
      </c>
      <c r="D580" s="12" t="s">
        <v>80</v>
      </c>
      <c r="E580" s="12" t="s">
        <v>81</v>
      </c>
      <c r="F580" s="12" t="s">
        <v>82</v>
      </c>
      <c r="G580" s="14" t="n">
        <v>200</v>
      </c>
      <c r="H580" s="15" t="n">
        <v>24.26</v>
      </c>
      <c r="I580" s="15" t="n">
        <v>24.67</v>
      </c>
      <c r="J580" s="16" t="n">
        <f aca="false">G580*H580</f>
        <v>4852</v>
      </c>
      <c r="K580" s="16" t="n">
        <f aca="false">(H580-I580)*G580</f>
        <v>-82</v>
      </c>
      <c r="L580" s="17" t="n">
        <f aca="false">IF(I580=0,0,H580/I580-1)</f>
        <v>-0.0166193757600325</v>
      </c>
      <c r="M580" s="14" t="n">
        <v>1</v>
      </c>
      <c r="N580" s="18" t="n">
        <v>0.017</v>
      </c>
    </row>
    <row r="581" customFormat="false" ht="15" hidden="false" customHeight="false" outlineLevel="0" collapsed="false">
      <c r="A581" s="12" t="s">
        <v>640</v>
      </c>
      <c r="B581" s="13" t="n">
        <v>45836</v>
      </c>
      <c r="C581" s="12" t="str">
        <f aca="false">TEXT(B581,"yyyy-mm")</f>
        <v>2025-06</v>
      </c>
      <c r="D581" s="12" t="s">
        <v>35</v>
      </c>
      <c r="E581" s="12" t="s">
        <v>36</v>
      </c>
      <c r="F581" s="12" t="s">
        <v>37</v>
      </c>
      <c r="G581" s="14" t="n">
        <v>2400</v>
      </c>
      <c r="H581" s="15" t="n">
        <v>17.41</v>
      </c>
      <c r="I581" s="15" t="n">
        <v>17.59</v>
      </c>
      <c r="J581" s="16" t="n">
        <f aca="false">G581*H581</f>
        <v>41784</v>
      </c>
      <c r="K581" s="16" t="n">
        <f aca="false">(H581-I581)*G581</f>
        <v>-431.999999999999</v>
      </c>
      <c r="L581" s="17" t="n">
        <f aca="false">IF(I581=0,0,H581/I581-1)</f>
        <v>-0.0102330869812394</v>
      </c>
      <c r="M581" s="14" t="n">
        <v>1</v>
      </c>
      <c r="N581" s="18" t="n">
        <v>0.02</v>
      </c>
    </row>
    <row r="582" customFormat="false" ht="15" hidden="false" customHeight="false" outlineLevel="0" collapsed="false">
      <c r="A582" s="12" t="s">
        <v>641</v>
      </c>
      <c r="B582" s="13" t="n">
        <v>45836</v>
      </c>
      <c r="C582" s="12" t="str">
        <f aca="false">TEXT(B582,"yyyy-mm")</f>
        <v>2025-06</v>
      </c>
      <c r="D582" s="12" t="s">
        <v>61</v>
      </c>
      <c r="E582" s="12" t="s">
        <v>36</v>
      </c>
      <c r="F582" s="12" t="s">
        <v>37</v>
      </c>
      <c r="G582" s="14" t="n">
        <v>1600</v>
      </c>
      <c r="H582" s="15" t="n">
        <v>15.1</v>
      </c>
      <c r="I582" s="15" t="n">
        <v>14.84</v>
      </c>
      <c r="J582" s="16" t="n">
        <f aca="false">G582*H582</f>
        <v>24160</v>
      </c>
      <c r="K582" s="16" t="n">
        <f aca="false">(H582-I582)*G582</f>
        <v>416</v>
      </c>
      <c r="L582" s="17" t="n">
        <f aca="false">IF(I582=0,0,H582/I582-1)</f>
        <v>0.0175202156334231</v>
      </c>
      <c r="M582" s="14" t="n">
        <v>1</v>
      </c>
      <c r="N582" s="18" t="n">
        <v>0.02</v>
      </c>
    </row>
    <row r="583" customFormat="false" ht="15" hidden="false" customHeight="false" outlineLevel="0" collapsed="false">
      <c r="A583" s="12" t="s">
        <v>642</v>
      </c>
      <c r="B583" s="13" t="n">
        <v>45837</v>
      </c>
      <c r="C583" s="12" t="str">
        <f aca="false">TEXT(B583,"yyyy-mm")</f>
        <v>2025-06</v>
      </c>
      <c r="D583" s="12" t="s">
        <v>58</v>
      </c>
      <c r="E583" s="12" t="s">
        <v>59</v>
      </c>
      <c r="F583" s="12" t="s">
        <v>55</v>
      </c>
      <c r="G583" s="14" t="n">
        <v>1200</v>
      </c>
      <c r="H583" s="15" t="n">
        <v>42.29</v>
      </c>
      <c r="I583" s="15" t="n">
        <v>39.11</v>
      </c>
      <c r="J583" s="16" t="n">
        <f aca="false">G583*H583</f>
        <v>50748</v>
      </c>
      <c r="K583" s="16" t="n">
        <f aca="false">(H583-I583)*G583</f>
        <v>3816</v>
      </c>
      <c r="L583" s="17" t="n">
        <f aca="false">IF(I583=0,0,H583/I583-1)</f>
        <v>0.0813091281002301</v>
      </c>
      <c r="M583" s="14" t="n">
        <v>1</v>
      </c>
      <c r="N583" s="18" t="n">
        <v>0.021</v>
      </c>
    </row>
    <row r="584" customFormat="false" ht="15" hidden="false" customHeight="false" outlineLevel="0" collapsed="false">
      <c r="A584" s="12" t="s">
        <v>643</v>
      </c>
      <c r="B584" s="13" t="n">
        <v>45837</v>
      </c>
      <c r="C584" s="12" t="str">
        <f aca="false">TEXT(B584,"yyyy-mm")</f>
        <v>2025-06</v>
      </c>
      <c r="D584" s="12" t="s">
        <v>80</v>
      </c>
      <c r="E584" s="12" t="s">
        <v>81</v>
      </c>
      <c r="F584" s="12" t="s">
        <v>82</v>
      </c>
      <c r="G584" s="14" t="n">
        <v>1000</v>
      </c>
      <c r="H584" s="15" t="n">
        <v>24.41</v>
      </c>
      <c r="I584" s="15" t="n">
        <v>25.25</v>
      </c>
      <c r="J584" s="16" t="n">
        <f aca="false">G584*H584</f>
        <v>24410</v>
      </c>
      <c r="K584" s="16" t="n">
        <f aca="false">(H584-I584)*G584</f>
        <v>-840</v>
      </c>
      <c r="L584" s="17" t="n">
        <f aca="false">IF(I584=0,0,H584/I584-1)</f>
        <v>-0.0332673267326733</v>
      </c>
      <c r="M584" s="14" t="n">
        <v>1</v>
      </c>
      <c r="N584" s="18" t="n">
        <v>0.036</v>
      </c>
    </row>
    <row r="585" customFormat="false" ht="15" hidden="false" customHeight="false" outlineLevel="0" collapsed="false">
      <c r="A585" s="12" t="s">
        <v>644</v>
      </c>
      <c r="B585" s="13" t="n">
        <v>45838</v>
      </c>
      <c r="C585" s="12" t="str">
        <f aca="false">TEXT(B585,"yyyy-mm")</f>
        <v>2025-06</v>
      </c>
      <c r="D585" s="12" t="s">
        <v>61</v>
      </c>
      <c r="E585" s="12" t="s">
        <v>43</v>
      </c>
      <c r="F585" s="12" t="s">
        <v>44</v>
      </c>
      <c r="G585" s="14" t="n">
        <v>200</v>
      </c>
      <c r="H585" s="15" t="n">
        <v>15.31</v>
      </c>
      <c r="I585" s="15" t="n">
        <v>14.74</v>
      </c>
      <c r="J585" s="16" t="n">
        <f aca="false">G585*H585</f>
        <v>3062</v>
      </c>
      <c r="K585" s="16" t="n">
        <f aca="false">(H585-I585)*G585</f>
        <v>114</v>
      </c>
      <c r="L585" s="17" t="n">
        <f aca="false">IF(I585=0,0,H585/I585-1)</f>
        <v>0.0386702849389418</v>
      </c>
      <c r="M585" s="14" t="n">
        <v>1</v>
      </c>
      <c r="N585" s="18" t="n">
        <v>0.007</v>
      </c>
    </row>
    <row r="586" customFormat="false" ht="15" hidden="false" customHeight="false" outlineLevel="0" collapsed="false">
      <c r="A586" s="12" t="s">
        <v>645</v>
      </c>
      <c r="B586" s="13" t="n">
        <v>45839</v>
      </c>
      <c r="C586" s="12" t="str">
        <f aca="false">TEXT(B586,"yyyy-mm")</f>
        <v>2025-07</v>
      </c>
      <c r="D586" s="12" t="s">
        <v>61</v>
      </c>
      <c r="E586" s="12" t="s">
        <v>43</v>
      </c>
      <c r="F586" s="12" t="s">
        <v>44</v>
      </c>
      <c r="G586" s="14" t="n">
        <v>200</v>
      </c>
      <c r="H586" s="15" t="n">
        <v>14.88</v>
      </c>
      <c r="I586" s="15" t="n">
        <v>14.77</v>
      </c>
      <c r="J586" s="16" t="n">
        <f aca="false">G586*H586</f>
        <v>2976</v>
      </c>
      <c r="K586" s="16" t="n">
        <f aca="false">(H586-I586)*G586</f>
        <v>22.0000000000002</v>
      </c>
      <c r="L586" s="17" t="n">
        <f aca="false">IF(I586=0,0,H586/I586-1)</f>
        <v>0.00744752877454302</v>
      </c>
      <c r="M586" s="14" t="n">
        <v>1</v>
      </c>
      <c r="N586" s="18" t="n">
        <v>0.003</v>
      </c>
    </row>
    <row r="587" customFormat="false" ht="15" hidden="false" customHeight="false" outlineLevel="0" collapsed="false">
      <c r="A587" s="12" t="s">
        <v>646</v>
      </c>
      <c r="B587" s="13" t="n">
        <v>45839</v>
      </c>
      <c r="C587" s="12" t="str">
        <f aca="false">TEXT(B587,"yyyy-mm")</f>
        <v>2025-07</v>
      </c>
      <c r="D587" s="12" t="s">
        <v>58</v>
      </c>
      <c r="E587" s="12" t="s">
        <v>59</v>
      </c>
      <c r="F587" s="12" t="s">
        <v>55</v>
      </c>
      <c r="G587" s="14" t="n">
        <v>1600</v>
      </c>
      <c r="H587" s="15" t="n">
        <v>39.7</v>
      </c>
      <c r="I587" s="15" t="n">
        <v>37.98</v>
      </c>
      <c r="J587" s="16" t="n">
        <f aca="false">G587*H587</f>
        <v>63520</v>
      </c>
      <c r="K587" s="16" t="n">
        <f aca="false">(H587-I587)*G587</f>
        <v>2752.00000000001</v>
      </c>
      <c r="L587" s="17" t="n">
        <f aca="false">IF(I587=0,0,H587/I587-1)</f>
        <v>0.0452869931542919</v>
      </c>
      <c r="M587" s="14" t="n">
        <v>1</v>
      </c>
      <c r="N587" s="18" t="n">
        <v>0.022</v>
      </c>
    </row>
    <row r="588" customFormat="false" ht="15" hidden="false" customHeight="false" outlineLevel="0" collapsed="false">
      <c r="A588" s="12" t="s">
        <v>647</v>
      </c>
      <c r="B588" s="13" t="n">
        <v>45839</v>
      </c>
      <c r="C588" s="12" t="str">
        <f aca="false">TEXT(B588,"yyyy-mm")</f>
        <v>2025-07</v>
      </c>
      <c r="D588" s="12" t="s">
        <v>80</v>
      </c>
      <c r="E588" s="12" t="s">
        <v>81</v>
      </c>
      <c r="F588" s="12" t="s">
        <v>82</v>
      </c>
      <c r="G588" s="14" t="n">
        <v>1000</v>
      </c>
      <c r="H588" s="15" t="n">
        <v>24.54</v>
      </c>
      <c r="I588" s="15" t="n">
        <v>25.34</v>
      </c>
      <c r="J588" s="16" t="n">
        <f aca="false">G588*H588</f>
        <v>24540</v>
      </c>
      <c r="K588" s="16" t="n">
        <f aca="false">(H588-I588)*G588</f>
        <v>-800.000000000001</v>
      </c>
      <c r="L588" s="17" t="n">
        <f aca="false">IF(I588=0,0,H588/I588-1)</f>
        <v>-0.031570639305446</v>
      </c>
      <c r="M588" s="14" t="n">
        <v>1</v>
      </c>
      <c r="N588" s="18" t="n">
        <v>0.032</v>
      </c>
    </row>
    <row r="589" customFormat="false" ht="15" hidden="false" customHeight="false" outlineLevel="0" collapsed="false">
      <c r="A589" s="12" t="s">
        <v>648</v>
      </c>
      <c r="B589" s="13" t="n">
        <v>45839</v>
      </c>
      <c r="C589" s="12" t="str">
        <f aca="false">TEXT(B589,"yyyy-mm")</f>
        <v>2025-07</v>
      </c>
      <c r="D589" s="12" t="s">
        <v>35</v>
      </c>
      <c r="E589" s="12" t="s">
        <v>43</v>
      </c>
      <c r="F589" s="12" t="s">
        <v>44</v>
      </c>
      <c r="G589" s="14" t="n">
        <v>800</v>
      </c>
      <c r="H589" s="15" t="n">
        <v>16.87</v>
      </c>
      <c r="I589" s="15" t="n">
        <v>16.85</v>
      </c>
      <c r="J589" s="16" t="n">
        <f aca="false">G589*H589</f>
        <v>13496</v>
      </c>
      <c r="K589" s="16" t="n">
        <f aca="false">(H589-I589)*G589</f>
        <v>15.9999999999997</v>
      </c>
      <c r="L589" s="17" t="n">
        <f aca="false">IF(I589=0,0,H589/I589-1)</f>
        <v>0.00118694362017813</v>
      </c>
      <c r="M589" s="14" t="n">
        <v>1</v>
      </c>
      <c r="N589" s="18" t="n">
        <v>0.013</v>
      </c>
    </row>
    <row r="590" customFormat="false" ht="15" hidden="false" customHeight="false" outlineLevel="0" collapsed="false">
      <c r="A590" s="12" t="s">
        <v>649</v>
      </c>
      <c r="B590" s="13" t="n">
        <v>45839</v>
      </c>
      <c r="C590" s="12" t="str">
        <f aca="false">TEXT(B590,"yyyy-mm")</f>
        <v>2025-07</v>
      </c>
      <c r="D590" s="12" t="s">
        <v>61</v>
      </c>
      <c r="E590" s="12" t="s">
        <v>43</v>
      </c>
      <c r="F590" s="12" t="s">
        <v>44</v>
      </c>
      <c r="G590" s="14" t="n">
        <v>800</v>
      </c>
      <c r="H590" s="15" t="n">
        <v>15.54</v>
      </c>
      <c r="I590" s="15" t="n">
        <v>15.16</v>
      </c>
      <c r="J590" s="16" t="n">
        <f aca="false">G590*H590</f>
        <v>12432</v>
      </c>
      <c r="K590" s="16" t="n">
        <f aca="false">(H590-I590)*G590</f>
        <v>303.999999999999</v>
      </c>
      <c r="L590" s="17" t="n">
        <f aca="false">IF(I590=0,0,H590/I590-1)</f>
        <v>0.025065963060686</v>
      </c>
      <c r="M590" s="14" t="n">
        <v>1</v>
      </c>
      <c r="N590" s="18" t="n">
        <v>0.024</v>
      </c>
    </row>
    <row r="591" customFormat="false" ht="15" hidden="false" customHeight="false" outlineLevel="0" collapsed="false">
      <c r="A591" s="12" t="s">
        <v>650</v>
      </c>
      <c r="B591" s="13" t="n">
        <v>45839</v>
      </c>
      <c r="C591" s="12" t="str">
        <f aca="false">TEXT(B591,"yyyy-mm")</f>
        <v>2025-07</v>
      </c>
      <c r="D591" s="12" t="s">
        <v>35</v>
      </c>
      <c r="E591" s="12" t="s">
        <v>43</v>
      </c>
      <c r="F591" s="12" t="s">
        <v>44</v>
      </c>
      <c r="G591" s="14" t="n">
        <v>1200</v>
      </c>
      <c r="H591" s="15" t="n">
        <v>17.07</v>
      </c>
      <c r="I591" s="15" t="n">
        <v>16.96</v>
      </c>
      <c r="J591" s="16" t="n">
        <f aca="false">G591*H591</f>
        <v>20484</v>
      </c>
      <c r="K591" s="16" t="n">
        <f aca="false">(H591-I591)*G591</f>
        <v>131.999999999999</v>
      </c>
      <c r="L591" s="17" t="n">
        <f aca="false">IF(I591=0,0,H591/I591-1)</f>
        <v>0.00648584905660377</v>
      </c>
      <c r="M591" s="14" t="n">
        <v>1</v>
      </c>
      <c r="N591" s="18" t="n">
        <v>0.011</v>
      </c>
    </row>
    <row r="592" customFormat="false" ht="15" hidden="false" customHeight="false" outlineLevel="0" collapsed="false">
      <c r="A592" s="12" t="s">
        <v>651</v>
      </c>
      <c r="B592" s="13" t="n">
        <v>45839</v>
      </c>
      <c r="C592" s="12" t="str">
        <f aca="false">TEXT(B592,"yyyy-mm")</f>
        <v>2025-07</v>
      </c>
      <c r="D592" s="12" t="s">
        <v>35</v>
      </c>
      <c r="E592" s="12" t="s">
        <v>43</v>
      </c>
      <c r="F592" s="12" t="s">
        <v>44</v>
      </c>
      <c r="G592" s="14" t="n">
        <v>1200</v>
      </c>
      <c r="H592" s="15" t="n">
        <v>17.81</v>
      </c>
      <c r="I592" s="15" t="n">
        <v>16.94</v>
      </c>
      <c r="J592" s="16" t="n">
        <f aca="false">G592*H592</f>
        <v>21372</v>
      </c>
      <c r="K592" s="16" t="n">
        <f aca="false">(H592-I592)*G592</f>
        <v>1044</v>
      </c>
      <c r="L592" s="17" t="n">
        <f aca="false">IF(I592=0,0,H592/I592-1)</f>
        <v>0.0513577331759147</v>
      </c>
      <c r="M592" s="14" t="n">
        <v>1</v>
      </c>
      <c r="N592" s="18" t="n">
        <v>0.02</v>
      </c>
    </row>
    <row r="593" customFormat="false" ht="15" hidden="false" customHeight="false" outlineLevel="0" collapsed="false">
      <c r="A593" s="12" t="s">
        <v>652</v>
      </c>
      <c r="B593" s="13" t="n">
        <v>45839</v>
      </c>
      <c r="C593" s="12" t="str">
        <f aca="false">TEXT(B593,"yyyy-mm")</f>
        <v>2025-07</v>
      </c>
      <c r="D593" s="12" t="s">
        <v>61</v>
      </c>
      <c r="E593" s="12" t="s">
        <v>43</v>
      </c>
      <c r="F593" s="12" t="s">
        <v>44</v>
      </c>
      <c r="G593" s="14" t="n">
        <v>1600</v>
      </c>
      <c r="H593" s="15" t="n">
        <v>15.84</v>
      </c>
      <c r="I593" s="15" t="n">
        <v>15.08</v>
      </c>
      <c r="J593" s="16" t="n">
        <f aca="false">G593*H593</f>
        <v>25344</v>
      </c>
      <c r="K593" s="16" t="n">
        <f aca="false">(H593-I593)*G593</f>
        <v>1216</v>
      </c>
      <c r="L593" s="17" t="n">
        <f aca="false">IF(I593=0,0,H593/I593-1)</f>
        <v>0.0503978779840848</v>
      </c>
      <c r="M593" s="14" t="n">
        <v>1</v>
      </c>
      <c r="N593" s="18" t="n">
        <v>0.015</v>
      </c>
    </row>
    <row r="594" customFormat="false" ht="15" hidden="false" customHeight="false" outlineLevel="0" collapsed="false">
      <c r="A594" s="12" t="s">
        <v>653</v>
      </c>
      <c r="B594" s="13" t="n">
        <v>45840</v>
      </c>
      <c r="C594" s="12" t="str">
        <f aca="false">TEXT(B594,"yyyy-mm")</f>
        <v>2025-07</v>
      </c>
      <c r="D594" s="12" t="s">
        <v>61</v>
      </c>
      <c r="E594" s="12" t="s">
        <v>36</v>
      </c>
      <c r="F594" s="12" t="s">
        <v>37</v>
      </c>
      <c r="G594" s="14" t="n">
        <v>1000</v>
      </c>
      <c r="H594" s="15" t="n">
        <v>15.72</v>
      </c>
      <c r="I594" s="15" t="n">
        <v>15.28</v>
      </c>
      <c r="J594" s="16" t="n">
        <f aca="false">G594*H594</f>
        <v>15720</v>
      </c>
      <c r="K594" s="16" t="n">
        <f aca="false">(H594-I594)*G594</f>
        <v>440.000000000001</v>
      </c>
      <c r="L594" s="17" t="n">
        <f aca="false">IF(I594=0,0,H594/I594-1)</f>
        <v>0.0287958115183247</v>
      </c>
      <c r="M594" s="14" t="n">
        <v>1</v>
      </c>
      <c r="N594" s="18" t="n">
        <v>0.024</v>
      </c>
    </row>
    <row r="595" customFormat="false" ht="15" hidden="false" customHeight="false" outlineLevel="0" collapsed="false">
      <c r="A595" s="12" t="s">
        <v>654</v>
      </c>
      <c r="B595" s="13" t="n">
        <v>45840</v>
      </c>
      <c r="C595" s="12" t="str">
        <f aca="false">TEXT(B595,"yyyy-mm")</f>
        <v>2025-07</v>
      </c>
      <c r="D595" s="12" t="s">
        <v>53</v>
      </c>
      <c r="E595" s="12" t="s">
        <v>54</v>
      </c>
      <c r="F595" s="12" t="s">
        <v>55</v>
      </c>
      <c r="G595" s="14" t="n">
        <v>1000</v>
      </c>
      <c r="H595" s="15" t="n">
        <v>17.98</v>
      </c>
      <c r="I595" s="15" t="n">
        <v>17.51</v>
      </c>
      <c r="J595" s="16" t="n">
        <f aca="false">G595*H595</f>
        <v>17980</v>
      </c>
      <c r="K595" s="16" t="n">
        <f aca="false">(H595-I595)*G595</f>
        <v>469.999999999999</v>
      </c>
      <c r="L595" s="17" t="n">
        <f aca="false">IF(I595=0,0,H595/I595-1)</f>
        <v>0.0268418046830381</v>
      </c>
      <c r="M595" s="14" t="n">
        <v>1</v>
      </c>
      <c r="N595" s="18" t="n">
        <v>0.014</v>
      </c>
    </row>
    <row r="596" customFormat="false" ht="15" hidden="false" customHeight="false" outlineLevel="0" collapsed="false">
      <c r="A596" s="12" t="s">
        <v>655</v>
      </c>
      <c r="B596" s="13" t="n">
        <v>45841</v>
      </c>
      <c r="C596" s="12" t="str">
        <f aca="false">TEXT(B596,"yyyy-mm")</f>
        <v>2025-07</v>
      </c>
      <c r="D596" s="12" t="s">
        <v>35</v>
      </c>
      <c r="E596" s="12" t="s">
        <v>43</v>
      </c>
      <c r="F596" s="12" t="s">
        <v>44</v>
      </c>
      <c r="G596" s="14" t="n">
        <v>2000</v>
      </c>
      <c r="H596" s="15" t="n">
        <v>16.95</v>
      </c>
      <c r="I596" s="15" t="n">
        <v>16.96</v>
      </c>
      <c r="J596" s="16" t="n">
        <f aca="false">G596*H596</f>
        <v>33900</v>
      </c>
      <c r="K596" s="16" t="n">
        <f aca="false">(H596-I596)*G596</f>
        <v>-20.0000000000031</v>
      </c>
      <c r="L596" s="17" t="n">
        <f aca="false">IF(I596=0,0,H596/I596-1)</f>
        <v>-0.000589622641509524</v>
      </c>
      <c r="M596" s="14" t="n">
        <v>1</v>
      </c>
      <c r="N596" s="18" t="n">
        <v>0.014</v>
      </c>
    </row>
    <row r="597" customFormat="false" ht="15" hidden="false" customHeight="false" outlineLevel="0" collapsed="false">
      <c r="A597" s="12" t="s">
        <v>656</v>
      </c>
      <c r="B597" s="13" t="n">
        <v>45842</v>
      </c>
      <c r="C597" s="12" t="str">
        <f aca="false">TEXT(B597,"yyyy-mm")</f>
        <v>2025-07</v>
      </c>
      <c r="D597" s="12" t="s">
        <v>53</v>
      </c>
      <c r="E597" s="12" t="s">
        <v>54</v>
      </c>
      <c r="F597" s="12" t="s">
        <v>55</v>
      </c>
      <c r="G597" s="14" t="n">
        <v>600</v>
      </c>
      <c r="H597" s="15" t="n">
        <v>17.25</v>
      </c>
      <c r="I597" s="15" t="n">
        <v>17.17</v>
      </c>
      <c r="J597" s="16" t="n">
        <f aca="false">G597*H597</f>
        <v>10350</v>
      </c>
      <c r="K597" s="16" t="n">
        <f aca="false">(H597-I597)*G597</f>
        <v>47.999999999999</v>
      </c>
      <c r="L597" s="17" t="n">
        <f aca="false">IF(I597=0,0,H597/I597-1)</f>
        <v>0.00465928945835747</v>
      </c>
      <c r="M597" s="14" t="n">
        <v>1</v>
      </c>
      <c r="N597" s="18" t="n">
        <v>0.012</v>
      </c>
    </row>
    <row r="598" customFormat="false" ht="15" hidden="false" customHeight="false" outlineLevel="0" collapsed="false">
      <c r="A598" s="12" t="s">
        <v>657</v>
      </c>
      <c r="B598" s="13" t="n">
        <v>45842</v>
      </c>
      <c r="C598" s="12" t="str">
        <f aca="false">TEXT(B598,"yyyy-mm")</f>
        <v>2025-07</v>
      </c>
      <c r="D598" s="12" t="s">
        <v>39</v>
      </c>
      <c r="E598" s="12" t="s">
        <v>46</v>
      </c>
      <c r="F598" s="12" t="s">
        <v>47</v>
      </c>
      <c r="G598" s="14" t="n">
        <v>1200</v>
      </c>
      <c r="H598" s="15" t="n">
        <v>21.34</v>
      </c>
      <c r="I598" s="15" t="n">
        <v>19.62</v>
      </c>
      <c r="J598" s="16" t="n">
        <f aca="false">G598*H598</f>
        <v>25608</v>
      </c>
      <c r="K598" s="16" t="n">
        <f aca="false">(H598-I598)*G598</f>
        <v>2064</v>
      </c>
      <c r="L598" s="17" t="n">
        <f aca="false">IF(I598=0,0,H598/I598-1)</f>
        <v>0.0876656472986748</v>
      </c>
      <c r="M598" s="14" t="n">
        <v>1</v>
      </c>
      <c r="N598" s="18" t="n">
        <v>0.008</v>
      </c>
    </row>
    <row r="599" customFormat="false" ht="15" hidden="false" customHeight="false" outlineLevel="0" collapsed="false">
      <c r="A599" s="12" t="s">
        <v>658</v>
      </c>
      <c r="B599" s="13" t="n">
        <v>45842</v>
      </c>
      <c r="C599" s="12" t="str">
        <f aca="false">TEXT(B599,"yyyy-mm")</f>
        <v>2025-07</v>
      </c>
      <c r="D599" s="12" t="s">
        <v>39</v>
      </c>
      <c r="E599" s="12" t="s">
        <v>46</v>
      </c>
      <c r="F599" s="12" t="s">
        <v>47</v>
      </c>
      <c r="G599" s="14" t="n">
        <v>800</v>
      </c>
      <c r="H599" s="15" t="n">
        <v>20.4</v>
      </c>
      <c r="I599" s="15" t="n">
        <v>19.52</v>
      </c>
      <c r="J599" s="16" t="n">
        <f aca="false">G599*H599</f>
        <v>16320</v>
      </c>
      <c r="K599" s="16" t="n">
        <f aca="false">(H599-I599)*G599</f>
        <v>703.999999999999</v>
      </c>
      <c r="L599" s="17" t="n">
        <f aca="false">IF(I599=0,0,H599/I599-1)</f>
        <v>0.0450819672131146</v>
      </c>
      <c r="M599" s="14" t="n">
        <v>1</v>
      </c>
      <c r="N599" s="18" t="n">
        <v>0.01</v>
      </c>
    </row>
    <row r="600" customFormat="false" ht="15" hidden="false" customHeight="false" outlineLevel="0" collapsed="false">
      <c r="A600" s="12" t="s">
        <v>659</v>
      </c>
      <c r="B600" s="13" t="n">
        <v>45843</v>
      </c>
      <c r="C600" s="12" t="str">
        <f aca="false">TEXT(B600,"yyyy-mm")</f>
        <v>2025-07</v>
      </c>
      <c r="D600" s="12" t="s">
        <v>58</v>
      </c>
      <c r="E600" s="12" t="s">
        <v>76</v>
      </c>
      <c r="F600" s="12" t="s">
        <v>77</v>
      </c>
      <c r="G600" s="14" t="n">
        <v>800</v>
      </c>
      <c r="H600" s="15" t="n">
        <v>37.84</v>
      </c>
      <c r="I600" s="15" t="n">
        <v>36.9</v>
      </c>
      <c r="J600" s="16" t="n">
        <f aca="false">G600*H600</f>
        <v>30272</v>
      </c>
      <c r="K600" s="16" t="n">
        <f aca="false">(H600-I600)*G600</f>
        <v>752.000000000004</v>
      </c>
      <c r="L600" s="17" t="n">
        <f aca="false">IF(I600=0,0,H600/I600-1)</f>
        <v>0.0254742547425475</v>
      </c>
      <c r="M600" s="14" t="n">
        <v>1</v>
      </c>
      <c r="N600" s="18" t="n">
        <v>0.018</v>
      </c>
    </row>
    <row r="601" customFormat="false" ht="15" hidden="false" customHeight="false" outlineLevel="0" collapsed="false">
      <c r="A601" s="12" t="s">
        <v>660</v>
      </c>
      <c r="B601" s="13" t="n">
        <v>45843</v>
      </c>
      <c r="C601" s="12" t="str">
        <f aca="false">TEXT(B601,"yyyy-mm")</f>
        <v>2025-07</v>
      </c>
      <c r="D601" s="12" t="s">
        <v>80</v>
      </c>
      <c r="E601" s="12" t="s">
        <v>81</v>
      </c>
      <c r="F601" s="12" t="s">
        <v>82</v>
      </c>
      <c r="G601" s="14" t="n">
        <v>800</v>
      </c>
      <c r="H601" s="15" t="n">
        <v>24.81</v>
      </c>
      <c r="I601" s="15" t="n">
        <v>25.28</v>
      </c>
      <c r="J601" s="16" t="n">
        <f aca="false">G601*H601</f>
        <v>19848</v>
      </c>
      <c r="K601" s="16" t="n">
        <f aca="false">(H601-I601)*G601</f>
        <v>-376.000000000002</v>
      </c>
      <c r="L601" s="17" t="n">
        <f aca="false">IF(I601=0,0,H601/I601-1)</f>
        <v>-0.0185917721518988</v>
      </c>
      <c r="M601" s="14" t="n">
        <v>1</v>
      </c>
      <c r="N601" s="18" t="n">
        <v>0.023</v>
      </c>
    </row>
    <row r="602" customFormat="false" ht="15" hidden="false" customHeight="false" outlineLevel="0" collapsed="false">
      <c r="A602" s="12" t="s">
        <v>661</v>
      </c>
      <c r="B602" s="13" t="n">
        <v>45843</v>
      </c>
      <c r="C602" s="12" t="str">
        <f aca="false">TEXT(B602,"yyyy-mm")</f>
        <v>2025-07</v>
      </c>
      <c r="D602" s="12" t="s">
        <v>53</v>
      </c>
      <c r="E602" s="12" t="s">
        <v>54</v>
      </c>
      <c r="F602" s="12" t="s">
        <v>55</v>
      </c>
      <c r="G602" s="14" t="n">
        <v>1200</v>
      </c>
      <c r="H602" s="15" t="n">
        <v>17.29</v>
      </c>
      <c r="I602" s="15" t="n">
        <v>17.18</v>
      </c>
      <c r="J602" s="16" t="n">
        <f aca="false">G602*H602</f>
        <v>20748</v>
      </c>
      <c r="K602" s="16" t="n">
        <f aca="false">(H602-I602)*G602</f>
        <v>131.999999999999</v>
      </c>
      <c r="L602" s="17" t="n">
        <f aca="false">IF(I602=0,0,H602/I602-1)</f>
        <v>0.00640279394644927</v>
      </c>
      <c r="M602" s="14" t="n">
        <v>1</v>
      </c>
      <c r="N602" s="18" t="n">
        <v>0.009</v>
      </c>
    </row>
    <row r="603" customFormat="false" ht="15" hidden="false" customHeight="false" outlineLevel="0" collapsed="false">
      <c r="A603" s="12" t="s">
        <v>662</v>
      </c>
      <c r="B603" s="13" t="n">
        <v>45843</v>
      </c>
      <c r="C603" s="12" t="str">
        <f aca="false">TEXT(B603,"yyyy-mm")</f>
        <v>2025-07</v>
      </c>
      <c r="D603" s="12" t="s">
        <v>75</v>
      </c>
      <c r="E603" s="12" t="s">
        <v>49</v>
      </c>
      <c r="F603" s="12" t="s">
        <v>50</v>
      </c>
      <c r="G603" s="14" t="n">
        <v>1600</v>
      </c>
      <c r="H603" s="15" t="n">
        <v>28.04</v>
      </c>
      <c r="I603" s="15" t="n">
        <v>28.06</v>
      </c>
      <c r="J603" s="16" t="n">
        <f aca="false">G603*H603</f>
        <v>44864</v>
      </c>
      <c r="K603" s="16" t="n">
        <f aca="false">(H603-I603)*G603</f>
        <v>-31.9999999999993</v>
      </c>
      <c r="L603" s="17" t="n">
        <f aca="false">IF(I603=0,0,H603/I603-1)</f>
        <v>-0.000712758374910916</v>
      </c>
      <c r="M603" s="14" t="n">
        <v>1</v>
      </c>
      <c r="N603" s="18" t="n">
        <v>0.036</v>
      </c>
    </row>
    <row r="604" customFormat="false" ht="15" hidden="false" customHeight="false" outlineLevel="0" collapsed="false">
      <c r="A604" s="12" t="s">
        <v>663</v>
      </c>
      <c r="B604" s="13" t="n">
        <v>45843</v>
      </c>
      <c r="C604" s="12" t="str">
        <f aca="false">TEXT(B604,"yyyy-mm")</f>
        <v>2025-07</v>
      </c>
      <c r="D604" s="12" t="s">
        <v>61</v>
      </c>
      <c r="E604" s="12" t="s">
        <v>43</v>
      </c>
      <c r="F604" s="12" t="s">
        <v>44</v>
      </c>
      <c r="G604" s="14" t="n">
        <v>2000</v>
      </c>
      <c r="H604" s="15" t="n">
        <v>15.38</v>
      </c>
      <c r="I604" s="15" t="n">
        <v>14.98</v>
      </c>
      <c r="J604" s="16" t="n">
        <f aca="false">G604*H604</f>
        <v>30760</v>
      </c>
      <c r="K604" s="16" t="n">
        <f aca="false">(H604-I604)*G604</f>
        <v>800.000000000001</v>
      </c>
      <c r="L604" s="17" t="n">
        <f aca="false">IF(I604=0,0,H604/I604-1)</f>
        <v>0.026702269692924</v>
      </c>
      <c r="M604" s="14" t="n">
        <v>1</v>
      </c>
      <c r="N604" s="18" t="n">
        <v>0.011</v>
      </c>
    </row>
    <row r="605" customFormat="false" ht="15" hidden="false" customHeight="false" outlineLevel="0" collapsed="false">
      <c r="A605" s="12" t="s">
        <v>664</v>
      </c>
      <c r="B605" s="13" t="n">
        <v>45843</v>
      </c>
      <c r="C605" s="12" t="str">
        <f aca="false">TEXT(B605,"yyyy-mm")</f>
        <v>2025-07</v>
      </c>
      <c r="D605" s="12" t="s">
        <v>61</v>
      </c>
      <c r="E605" s="12" t="s">
        <v>43</v>
      </c>
      <c r="F605" s="12" t="s">
        <v>44</v>
      </c>
      <c r="G605" s="14" t="n">
        <v>1600</v>
      </c>
      <c r="H605" s="15" t="n">
        <v>15.25</v>
      </c>
      <c r="I605" s="15" t="n">
        <v>14.68</v>
      </c>
      <c r="J605" s="16" t="n">
        <f aca="false">G605*H605</f>
        <v>24400</v>
      </c>
      <c r="K605" s="16" t="n">
        <f aca="false">(H605-I605)*G605</f>
        <v>912.000000000001</v>
      </c>
      <c r="L605" s="17" t="n">
        <f aca="false">IF(I605=0,0,H605/I605-1)</f>
        <v>0.0388283378746594</v>
      </c>
      <c r="M605" s="14" t="n">
        <v>1</v>
      </c>
      <c r="N605" s="18" t="n">
        <v>0.011</v>
      </c>
    </row>
    <row r="606" customFormat="false" ht="15" hidden="false" customHeight="false" outlineLevel="0" collapsed="false">
      <c r="A606" s="12" t="s">
        <v>665</v>
      </c>
      <c r="B606" s="13" t="n">
        <v>45843</v>
      </c>
      <c r="C606" s="12" t="str">
        <f aca="false">TEXT(B606,"yyyy-mm")</f>
        <v>2025-07</v>
      </c>
      <c r="D606" s="12" t="s">
        <v>61</v>
      </c>
      <c r="E606" s="12" t="s">
        <v>43</v>
      </c>
      <c r="F606" s="12" t="s">
        <v>44</v>
      </c>
      <c r="G606" s="14" t="n">
        <v>200</v>
      </c>
      <c r="H606" s="15" t="n">
        <v>15.68</v>
      </c>
      <c r="I606" s="15" t="n">
        <v>15.24</v>
      </c>
      <c r="J606" s="16" t="n">
        <f aca="false">G606*H606</f>
        <v>3136</v>
      </c>
      <c r="K606" s="16" t="n">
        <f aca="false">(H606-I606)*G606</f>
        <v>87.9999999999999</v>
      </c>
      <c r="L606" s="17" t="n">
        <f aca="false">IF(I606=0,0,H606/I606-1)</f>
        <v>0.0288713910761154</v>
      </c>
      <c r="M606" s="14" t="n">
        <v>1</v>
      </c>
      <c r="N606" s="18" t="n">
        <v>0.016</v>
      </c>
    </row>
    <row r="607" customFormat="false" ht="15" hidden="false" customHeight="false" outlineLevel="0" collapsed="false">
      <c r="A607" s="12" t="s">
        <v>666</v>
      </c>
      <c r="B607" s="13" t="n">
        <v>45843</v>
      </c>
      <c r="C607" s="12" t="str">
        <f aca="false">TEXT(B607,"yyyy-mm")</f>
        <v>2025-07</v>
      </c>
      <c r="D607" s="12" t="s">
        <v>61</v>
      </c>
      <c r="E607" s="12" t="s">
        <v>43</v>
      </c>
      <c r="F607" s="12" t="s">
        <v>44</v>
      </c>
      <c r="G607" s="14" t="n">
        <v>1600</v>
      </c>
      <c r="H607" s="15" t="n">
        <v>15.46</v>
      </c>
      <c r="I607" s="15" t="n">
        <v>15.47</v>
      </c>
      <c r="J607" s="16" t="n">
        <f aca="false">G607*H607</f>
        <v>24736</v>
      </c>
      <c r="K607" s="16" t="n">
        <f aca="false">(H607-I607)*G607</f>
        <v>-15.9999999999997</v>
      </c>
      <c r="L607" s="17" t="n">
        <f aca="false">IF(I607=0,0,H607/I607-1)</f>
        <v>-0.000646412411118291</v>
      </c>
      <c r="M607" s="14" t="n">
        <v>1</v>
      </c>
      <c r="N607" s="18" t="n">
        <v>0.018</v>
      </c>
    </row>
    <row r="608" customFormat="false" ht="15" hidden="false" customHeight="false" outlineLevel="0" collapsed="false">
      <c r="A608" s="12" t="s">
        <v>667</v>
      </c>
      <c r="B608" s="13" t="n">
        <v>45844</v>
      </c>
      <c r="C608" s="12" t="str">
        <f aca="false">TEXT(B608,"yyyy-mm")</f>
        <v>2025-07</v>
      </c>
      <c r="D608" s="12" t="s">
        <v>53</v>
      </c>
      <c r="E608" s="12" t="s">
        <v>54</v>
      </c>
      <c r="F608" s="12" t="s">
        <v>55</v>
      </c>
      <c r="G608" s="14" t="n">
        <v>800</v>
      </c>
      <c r="H608" s="15" t="n">
        <v>17.05</v>
      </c>
      <c r="I608" s="15" t="n">
        <v>16.96</v>
      </c>
      <c r="J608" s="16" t="n">
        <f aca="false">G608*H608</f>
        <v>13640</v>
      </c>
      <c r="K608" s="16" t="n">
        <f aca="false">(H608-I608)*G608</f>
        <v>71.9999999999999</v>
      </c>
      <c r="L608" s="17" t="n">
        <f aca="false">IF(I608=0,0,H608/I608-1)</f>
        <v>0.00530660377358494</v>
      </c>
      <c r="M608" s="14" t="n">
        <v>1</v>
      </c>
      <c r="N608" s="18" t="n">
        <v>0.023</v>
      </c>
    </row>
    <row r="609" customFormat="false" ht="15" hidden="false" customHeight="false" outlineLevel="0" collapsed="false">
      <c r="A609" s="12" t="s">
        <v>668</v>
      </c>
      <c r="B609" s="13" t="n">
        <v>45845</v>
      </c>
      <c r="C609" s="12" t="str">
        <f aca="false">TEXT(B609,"yyyy-mm")</f>
        <v>2025-07</v>
      </c>
      <c r="D609" s="12" t="s">
        <v>39</v>
      </c>
      <c r="E609" s="12" t="s">
        <v>46</v>
      </c>
      <c r="F609" s="12" t="s">
        <v>47</v>
      </c>
      <c r="G609" s="14" t="n">
        <v>2000</v>
      </c>
      <c r="H609" s="15" t="n">
        <v>21.43</v>
      </c>
      <c r="I609" s="15" t="n">
        <v>20.53</v>
      </c>
      <c r="J609" s="16" t="n">
        <f aca="false">G609*H609</f>
        <v>42860</v>
      </c>
      <c r="K609" s="16" t="n">
        <f aca="false">(H609-I609)*G609</f>
        <v>1800</v>
      </c>
      <c r="L609" s="17" t="n">
        <f aca="false">IF(I609=0,0,H609/I609-1)</f>
        <v>0.0438382854359474</v>
      </c>
      <c r="M609" s="14" t="n">
        <v>1</v>
      </c>
      <c r="N609" s="18" t="n">
        <v>0.006</v>
      </c>
    </row>
    <row r="610" customFormat="false" ht="15" hidden="false" customHeight="false" outlineLevel="0" collapsed="false">
      <c r="A610" s="12" t="s">
        <v>669</v>
      </c>
      <c r="B610" s="13" t="n">
        <v>45845</v>
      </c>
      <c r="C610" s="12" t="str">
        <f aca="false">TEXT(B610,"yyyy-mm")</f>
        <v>2025-07</v>
      </c>
      <c r="D610" s="12" t="s">
        <v>80</v>
      </c>
      <c r="E610" s="12" t="s">
        <v>81</v>
      </c>
      <c r="F610" s="12" t="s">
        <v>82</v>
      </c>
      <c r="G610" s="14" t="n">
        <v>1200</v>
      </c>
      <c r="H610" s="15" t="n">
        <v>23.94</v>
      </c>
      <c r="I610" s="15" t="n">
        <v>25.28</v>
      </c>
      <c r="J610" s="16" t="n">
        <f aca="false">G610*H610</f>
        <v>28728</v>
      </c>
      <c r="K610" s="16" t="n">
        <f aca="false">(H610-I610)*G610</f>
        <v>-1608</v>
      </c>
      <c r="L610" s="17" t="n">
        <f aca="false">IF(I610=0,0,H610/I610-1)</f>
        <v>-0.053006329113924</v>
      </c>
      <c r="M610" s="14" t="n">
        <v>1</v>
      </c>
      <c r="N610" s="18" t="n">
        <v>0.027</v>
      </c>
    </row>
    <row r="611" customFormat="false" ht="15" hidden="false" customHeight="false" outlineLevel="0" collapsed="false">
      <c r="A611" s="12" t="s">
        <v>670</v>
      </c>
      <c r="B611" s="13" t="n">
        <v>45845</v>
      </c>
      <c r="C611" s="12" t="str">
        <f aca="false">TEXT(B611,"yyyy-mm")</f>
        <v>2025-07</v>
      </c>
      <c r="D611" s="12" t="s">
        <v>75</v>
      </c>
      <c r="E611" s="12" t="s">
        <v>49</v>
      </c>
      <c r="F611" s="12" t="s">
        <v>50</v>
      </c>
      <c r="G611" s="14" t="n">
        <v>2000</v>
      </c>
      <c r="H611" s="15" t="n">
        <v>26.52</v>
      </c>
      <c r="I611" s="15" t="n">
        <v>27.65</v>
      </c>
      <c r="J611" s="16" t="n">
        <f aca="false">G611*H611</f>
        <v>53040</v>
      </c>
      <c r="K611" s="16" t="n">
        <f aca="false">(H611-I611)*G611</f>
        <v>-2260</v>
      </c>
      <c r="L611" s="17" t="n">
        <f aca="false">IF(I611=0,0,H611/I611-1)</f>
        <v>-0.0408679927667269</v>
      </c>
      <c r="M611" s="14" t="n">
        <v>1</v>
      </c>
      <c r="N611" s="18" t="n">
        <v>0.029</v>
      </c>
    </row>
    <row r="612" customFormat="false" ht="15" hidden="false" customHeight="false" outlineLevel="0" collapsed="false">
      <c r="A612" s="12" t="s">
        <v>671</v>
      </c>
      <c r="B612" s="13" t="n">
        <v>45847</v>
      </c>
      <c r="C612" s="12" t="str">
        <f aca="false">TEXT(B612,"yyyy-mm")</f>
        <v>2025-07</v>
      </c>
      <c r="D612" s="12" t="s">
        <v>39</v>
      </c>
      <c r="E612" s="12" t="s">
        <v>49</v>
      </c>
      <c r="F612" s="12" t="s">
        <v>50</v>
      </c>
      <c r="G612" s="14" t="n">
        <v>2000</v>
      </c>
      <c r="H612" s="15" t="n">
        <v>19.61</v>
      </c>
      <c r="I612" s="15" t="n">
        <v>20.04</v>
      </c>
      <c r="J612" s="16" t="n">
        <f aca="false">G612*H612</f>
        <v>39220</v>
      </c>
      <c r="K612" s="16" t="n">
        <f aca="false">(H612-I612)*G612</f>
        <v>-859.999999999999</v>
      </c>
      <c r="L612" s="17" t="n">
        <f aca="false">IF(I612=0,0,H612/I612-1)</f>
        <v>-0.0214570858283433</v>
      </c>
      <c r="M612" s="14" t="n">
        <v>1</v>
      </c>
      <c r="N612" s="18" t="n">
        <v>0.038</v>
      </c>
    </row>
    <row r="613" customFormat="false" ht="15" hidden="false" customHeight="false" outlineLevel="0" collapsed="false">
      <c r="A613" s="12" t="s">
        <v>672</v>
      </c>
      <c r="B613" s="13" t="n">
        <v>45847</v>
      </c>
      <c r="C613" s="12" t="str">
        <f aca="false">TEXT(B613,"yyyy-mm")</f>
        <v>2025-07</v>
      </c>
      <c r="D613" s="12" t="s">
        <v>35</v>
      </c>
      <c r="E613" s="12" t="s">
        <v>43</v>
      </c>
      <c r="F613" s="12" t="s">
        <v>44</v>
      </c>
      <c r="G613" s="14" t="n">
        <v>1600</v>
      </c>
      <c r="H613" s="15" t="n">
        <v>18.8</v>
      </c>
      <c r="I613" s="15" t="n">
        <v>17.56</v>
      </c>
      <c r="J613" s="16" t="n">
        <f aca="false">G613*H613</f>
        <v>30080</v>
      </c>
      <c r="K613" s="16" t="n">
        <f aca="false">(H613-I613)*G613</f>
        <v>1984</v>
      </c>
      <c r="L613" s="17" t="n">
        <f aca="false">IF(I613=0,0,H613/I613-1)</f>
        <v>0.070615034168565</v>
      </c>
      <c r="M613" s="14" t="n">
        <v>0</v>
      </c>
      <c r="N613" s="18" t="n">
        <v>0.016</v>
      </c>
    </row>
    <row r="614" customFormat="false" ht="15" hidden="false" customHeight="false" outlineLevel="0" collapsed="false">
      <c r="A614" s="12" t="s">
        <v>673</v>
      </c>
      <c r="B614" s="13" t="n">
        <v>45847</v>
      </c>
      <c r="C614" s="12" t="str">
        <f aca="false">TEXT(B614,"yyyy-mm")</f>
        <v>2025-07</v>
      </c>
      <c r="D614" s="12" t="s">
        <v>53</v>
      </c>
      <c r="E614" s="12" t="s">
        <v>54</v>
      </c>
      <c r="F614" s="12" t="s">
        <v>55</v>
      </c>
      <c r="G614" s="14" t="n">
        <v>400</v>
      </c>
      <c r="H614" s="15" t="n">
        <v>17.66</v>
      </c>
      <c r="I614" s="15" t="n">
        <v>17.2</v>
      </c>
      <c r="J614" s="16" t="n">
        <f aca="false">G614*H614</f>
        <v>7064</v>
      </c>
      <c r="K614" s="16" t="n">
        <f aca="false">(H614-I614)*G614</f>
        <v>184</v>
      </c>
      <c r="L614" s="17" t="n">
        <f aca="false">IF(I614=0,0,H614/I614-1)</f>
        <v>0.0267441860465116</v>
      </c>
      <c r="M614" s="14" t="n">
        <v>1</v>
      </c>
      <c r="N614" s="18" t="n">
        <v>0.011</v>
      </c>
    </row>
    <row r="615" customFormat="false" ht="15" hidden="false" customHeight="false" outlineLevel="0" collapsed="false">
      <c r="A615" s="12" t="s">
        <v>674</v>
      </c>
      <c r="B615" s="13" t="n">
        <v>45848</v>
      </c>
      <c r="C615" s="12" t="str">
        <f aca="false">TEXT(B615,"yyyy-mm")</f>
        <v>2025-07</v>
      </c>
      <c r="D615" s="12" t="s">
        <v>35</v>
      </c>
      <c r="E615" s="12" t="s">
        <v>43</v>
      </c>
      <c r="F615" s="12" t="s">
        <v>44</v>
      </c>
      <c r="G615" s="14" t="n">
        <v>400</v>
      </c>
      <c r="H615" s="15" t="n">
        <v>17.51</v>
      </c>
      <c r="I615" s="15" t="n">
        <v>16.67</v>
      </c>
      <c r="J615" s="16" t="n">
        <f aca="false">G615*H615</f>
        <v>7004</v>
      </c>
      <c r="K615" s="16" t="n">
        <f aca="false">(H615-I615)*G615</f>
        <v>336</v>
      </c>
      <c r="L615" s="17" t="n">
        <f aca="false">IF(I615=0,0,H615/I615-1)</f>
        <v>0.0503899220155968</v>
      </c>
      <c r="M615" s="14" t="n">
        <v>1</v>
      </c>
      <c r="N615" s="18" t="n">
        <v>0.016</v>
      </c>
    </row>
    <row r="616" customFormat="false" ht="15" hidden="false" customHeight="false" outlineLevel="0" collapsed="false">
      <c r="A616" s="12" t="s">
        <v>675</v>
      </c>
      <c r="B616" s="13" t="n">
        <v>45848</v>
      </c>
      <c r="C616" s="12" t="str">
        <f aca="false">TEXT(B616,"yyyy-mm")</f>
        <v>2025-07</v>
      </c>
      <c r="D616" s="12" t="s">
        <v>61</v>
      </c>
      <c r="E616" s="12" t="s">
        <v>36</v>
      </c>
      <c r="F616" s="12" t="s">
        <v>37</v>
      </c>
      <c r="G616" s="14" t="n">
        <v>600</v>
      </c>
      <c r="H616" s="15" t="n">
        <v>15.29</v>
      </c>
      <c r="I616" s="15" t="n">
        <v>14.86</v>
      </c>
      <c r="J616" s="16" t="n">
        <f aca="false">G616*H616</f>
        <v>9174</v>
      </c>
      <c r="K616" s="16" t="n">
        <f aca="false">(H616-I616)*G616</f>
        <v>258</v>
      </c>
      <c r="L616" s="17" t="n">
        <f aca="false">IF(I616=0,0,H616/I616-1)</f>
        <v>0.028936742934051</v>
      </c>
      <c r="M616" s="14" t="n">
        <v>0</v>
      </c>
      <c r="N616" s="18" t="n">
        <v>0.018</v>
      </c>
    </row>
    <row r="617" customFormat="false" ht="15" hidden="false" customHeight="false" outlineLevel="0" collapsed="false">
      <c r="A617" s="12" t="s">
        <v>676</v>
      </c>
      <c r="B617" s="13" t="n">
        <v>45848</v>
      </c>
      <c r="C617" s="12" t="str">
        <f aca="false">TEXT(B617,"yyyy-mm")</f>
        <v>2025-07</v>
      </c>
      <c r="D617" s="12" t="s">
        <v>111</v>
      </c>
      <c r="E617" s="12" t="s">
        <v>76</v>
      </c>
      <c r="F617" s="12" t="s">
        <v>77</v>
      </c>
      <c r="G617" s="14" t="n">
        <v>600</v>
      </c>
      <c r="H617" s="15" t="n">
        <v>21.43</v>
      </c>
      <c r="I617" s="15" t="n">
        <v>21.73</v>
      </c>
      <c r="J617" s="16" t="n">
        <f aca="false">G617*H617</f>
        <v>12858</v>
      </c>
      <c r="K617" s="16" t="n">
        <f aca="false">(H617-I617)*G617</f>
        <v>-180</v>
      </c>
      <c r="L617" s="17" t="n">
        <f aca="false">IF(I617=0,0,H617/I617-1)</f>
        <v>-0.0138057984353429</v>
      </c>
      <c r="M617" s="14" t="n">
        <v>1</v>
      </c>
      <c r="N617" s="18" t="n">
        <v>0.02</v>
      </c>
    </row>
    <row r="618" customFormat="false" ht="15" hidden="false" customHeight="false" outlineLevel="0" collapsed="false">
      <c r="A618" s="12" t="s">
        <v>677</v>
      </c>
      <c r="B618" s="13" t="n">
        <v>45849</v>
      </c>
      <c r="C618" s="12" t="str">
        <f aca="false">TEXT(B618,"yyyy-mm")</f>
        <v>2025-07</v>
      </c>
      <c r="D618" s="12" t="s">
        <v>53</v>
      </c>
      <c r="E618" s="12" t="s">
        <v>54</v>
      </c>
      <c r="F618" s="12" t="s">
        <v>55</v>
      </c>
      <c r="G618" s="14" t="n">
        <v>400</v>
      </c>
      <c r="H618" s="15" t="n">
        <v>18.22</v>
      </c>
      <c r="I618" s="15" t="n">
        <v>17.85</v>
      </c>
      <c r="J618" s="16" t="n">
        <f aca="false">G618*H618</f>
        <v>7288</v>
      </c>
      <c r="K618" s="16" t="n">
        <f aca="false">(H618-I618)*G618</f>
        <v>147.999999999999</v>
      </c>
      <c r="L618" s="17" t="n">
        <f aca="false">IF(I618=0,0,H618/I618-1)</f>
        <v>0.0207282913165265</v>
      </c>
      <c r="M618" s="14" t="n">
        <v>1</v>
      </c>
      <c r="N618" s="18" t="n">
        <v>0.009</v>
      </c>
    </row>
    <row r="619" customFormat="false" ht="15" hidden="false" customHeight="false" outlineLevel="0" collapsed="false">
      <c r="A619" s="12" t="s">
        <v>678</v>
      </c>
      <c r="B619" s="13" t="n">
        <v>45849</v>
      </c>
      <c r="C619" s="12" t="str">
        <f aca="false">TEXT(B619,"yyyy-mm")</f>
        <v>2025-07</v>
      </c>
      <c r="D619" s="12" t="s">
        <v>61</v>
      </c>
      <c r="E619" s="12" t="s">
        <v>43</v>
      </c>
      <c r="F619" s="12" t="s">
        <v>44</v>
      </c>
      <c r="G619" s="14" t="n">
        <v>2000</v>
      </c>
      <c r="H619" s="15" t="n">
        <v>15.8</v>
      </c>
      <c r="I619" s="15" t="n">
        <v>15.4</v>
      </c>
      <c r="J619" s="16" t="n">
        <f aca="false">G619*H619</f>
        <v>31600</v>
      </c>
      <c r="K619" s="16" t="n">
        <f aca="false">(H619-I619)*G619</f>
        <v>800.000000000001</v>
      </c>
      <c r="L619" s="17" t="n">
        <f aca="false">IF(I619=0,0,H619/I619-1)</f>
        <v>0.025974025974026</v>
      </c>
      <c r="M619" s="14" t="n">
        <v>1</v>
      </c>
      <c r="N619" s="18" t="n">
        <v>0.016</v>
      </c>
    </row>
    <row r="620" customFormat="false" ht="15" hidden="false" customHeight="false" outlineLevel="0" collapsed="false">
      <c r="A620" s="12" t="s">
        <v>679</v>
      </c>
      <c r="B620" s="13" t="n">
        <v>45849</v>
      </c>
      <c r="C620" s="12" t="str">
        <f aca="false">TEXT(B620,"yyyy-mm")</f>
        <v>2025-07</v>
      </c>
      <c r="D620" s="12" t="s">
        <v>61</v>
      </c>
      <c r="E620" s="12" t="s">
        <v>36</v>
      </c>
      <c r="F620" s="12" t="s">
        <v>37</v>
      </c>
      <c r="G620" s="14" t="n">
        <v>2000</v>
      </c>
      <c r="H620" s="15" t="n">
        <v>15.47</v>
      </c>
      <c r="I620" s="15" t="n">
        <v>15.08</v>
      </c>
      <c r="J620" s="16" t="n">
        <f aca="false">G620*H620</f>
        <v>30940</v>
      </c>
      <c r="K620" s="16" t="n">
        <f aca="false">(H620-I620)*G620</f>
        <v>780.000000000001</v>
      </c>
      <c r="L620" s="17" t="n">
        <f aca="false">IF(I620=0,0,H620/I620-1)</f>
        <v>0.0258620689655174</v>
      </c>
      <c r="M620" s="14" t="n">
        <v>1</v>
      </c>
      <c r="N620" s="18" t="n">
        <v>0.028</v>
      </c>
    </row>
    <row r="621" customFormat="false" ht="15" hidden="false" customHeight="false" outlineLevel="0" collapsed="false">
      <c r="A621" s="12" t="s">
        <v>680</v>
      </c>
      <c r="B621" s="13" t="n">
        <v>45849</v>
      </c>
      <c r="C621" s="12" t="str">
        <f aca="false">TEXT(B621,"yyyy-mm")</f>
        <v>2025-07</v>
      </c>
      <c r="D621" s="12" t="s">
        <v>39</v>
      </c>
      <c r="E621" s="12" t="s">
        <v>40</v>
      </c>
      <c r="F621" s="12" t="s">
        <v>41</v>
      </c>
      <c r="G621" s="14" t="n">
        <v>1000</v>
      </c>
      <c r="H621" s="15" t="n">
        <v>20.31</v>
      </c>
      <c r="I621" s="15" t="n">
        <v>20.16</v>
      </c>
      <c r="J621" s="16" t="n">
        <f aca="false">G621*H621</f>
        <v>20310</v>
      </c>
      <c r="K621" s="16" t="n">
        <f aca="false">(H621-I621)*G621</f>
        <v>149.999999999999</v>
      </c>
      <c r="L621" s="17" t="n">
        <f aca="false">IF(I621=0,0,H621/I621-1)</f>
        <v>0.00744047619047605</v>
      </c>
      <c r="M621" s="14" t="n">
        <v>1</v>
      </c>
      <c r="N621" s="18" t="n">
        <v>0.013</v>
      </c>
    </row>
    <row r="622" customFormat="false" ht="15" hidden="false" customHeight="false" outlineLevel="0" collapsed="false">
      <c r="A622" s="12" t="s">
        <v>681</v>
      </c>
      <c r="B622" s="13" t="n">
        <v>45849</v>
      </c>
      <c r="C622" s="12" t="str">
        <f aca="false">TEXT(B622,"yyyy-mm")</f>
        <v>2025-07</v>
      </c>
      <c r="D622" s="12" t="s">
        <v>61</v>
      </c>
      <c r="E622" s="12" t="s">
        <v>36</v>
      </c>
      <c r="F622" s="12" t="s">
        <v>37</v>
      </c>
      <c r="G622" s="14" t="n">
        <v>1600</v>
      </c>
      <c r="H622" s="15" t="n">
        <v>14.75</v>
      </c>
      <c r="I622" s="15" t="n">
        <v>15.09</v>
      </c>
      <c r="J622" s="16" t="n">
        <f aca="false">G622*H622</f>
        <v>23600</v>
      </c>
      <c r="K622" s="16" t="n">
        <f aca="false">(H622-I622)*G622</f>
        <v>-544</v>
      </c>
      <c r="L622" s="17" t="n">
        <f aca="false">IF(I622=0,0,H622/I622-1)</f>
        <v>-0.0225314777998674</v>
      </c>
      <c r="M622" s="14" t="n">
        <v>1</v>
      </c>
      <c r="N622" s="18" t="n">
        <v>0.02</v>
      </c>
    </row>
    <row r="623" customFormat="false" ht="15" hidden="false" customHeight="false" outlineLevel="0" collapsed="false">
      <c r="A623" s="12" t="s">
        <v>682</v>
      </c>
      <c r="B623" s="13" t="n">
        <v>45849</v>
      </c>
      <c r="C623" s="12" t="str">
        <f aca="false">TEXT(B623,"yyyy-mm")</f>
        <v>2025-07</v>
      </c>
      <c r="D623" s="12" t="s">
        <v>61</v>
      </c>
      <c r="E623" s="12" t="s">
        <v>36</v>
      </c>
      <c r="F623" s="12" t="s">
        <v>37</v>
      </c>
      <c r="G623" s="14" t="n">
        <v>1600</v>
      </c>
      <c r="H623" s="15" t="n">
        <v>15.73</v>
      </c>
      <c r="I623" s="15" t="n">
        <v>15.41</v>
      </c>
      <c r="J623" s="16" t="n">
        <f aca="false">G623*H623</f>
        <v>25168</v>
      </c>
      <c r="K623" s="16" t="n">
        <f aca="false">(H623-I623)*G623</f>
        <v>512.000000000001</v>
      </c>
      <c r="L623" s="17" t="n">
        <f aca="false">IF(I623=0,0,H623/I623-1)</f>
        <v>0.0207657365347178</v>
      </c>
      <c r="M623" s="14" t="n">
        <v>1</v>
      </c>
      <c r="N623" s="18" t="n">
        <v>0.017</v>
      </c>
    </row>
    <row r="624" customFormat="false" ht="15" hidden="false" customHeight="false" outlineLevel="0" collapsed="false">
      <c r="A624" s="12" t="s">
        <v>683</v>
      </c>
      <c r="B624" s="13" t="n">
        <v>45849</v>
      </c>
      <c r="C624" s="12" t="str">
        <f aca="false">TEXT(B624,"yyyy-mm")</f>
        <v>2025-07</v>
      </c>
      <c r="D624" s="12" t="s">
        <v>53</v>
      </c>
      <c r="E624" s="12" t="s">
        <v>54</v>
      </c>
      <c r="F624" s="12" t="s">
        <v>55</v>
      </c>
      <c r="G624" s="14" t="n">
        <v>800</v>
      </c>
      <c r="H624" s="15" t="n">
        <v>17.57</v>
      </c>
      <c r="I624" s="15" t="n">
        <v>17.52</v>
      </c>
      <c r="J624" s="16" t="n">
        <f aca="false">G624*H624</f>
        <v>14056</v>
      </c>
      <c r="K624" s="16" t="n">
        <f aca="false">(H624-I624)*G624</f>
        <v>40.0000000000006</v>
      </c>
      <c r="L624" s="17" t="n">
        <f aca="false">IF(I624=0,0,H624/I624-1)</f>
        <v>0.00285388127853881</v>
      </c>
      <c r="M624" s="14" t="n">
        <v>1</v>
      </c>
      <c r="N624" s="18" t="n">
        <v>0.022</v>
      </c>
    </row>
    <row r="625" customFormat="false" ht="15" hidden="false" customHeight="false" outlineLevel="0" collapsed="false">
      <c r="A625" s="12" t="s">
        <v>684</v>
      </c>
      <c r="B625" s="13" t="n">
        <v>45850</v>
      </c>
      <c r="C625" s="12" t="str">
        <f aca="false">TEXT(B625,"yyyy-mm")</f>
        <v>2025-07</v>
      </c>
      <c r="D625" s="12" t="s">
        <v>53</v>
      </c>
      <c r="E625" s="12" t="s">
        <v>54</v>
      </c>
      <c r="F625" s="12" t="s">
        <v>55</v>
      </c>
      <c r="G625" s="14" t="n">
        <v>2000</v>
      </c>
      <c r="H625" s="15" t="n">
        <v>17.84</v>
      </c>
      <c r="I625" s="15" t="n">
        <v>17.1</v>
      </c>
      <c r="J625" s="16" t="n">
        <f aca="false">G625*H625</f>
        <v>35680</v>
      </c>
      <c r="K625" s="16" t="n">
        <f aca="false">(H625-I625)*G625</f>
        <v>1480</v>
      </c>
      <c r="L625" s="17" t="n">
        <f aca="false">IF(I625=0,0,H625/I625-1)</f>
        <v>0.0432748538011696</v>
      </c>
      <c r="M625" s="14" t="n">
        <v>0</v>
      </c>
      <c r="N625" s="18" t="n">
        <v>0.022</v>
      </c>
    </row>
    <row r="626" customFormat="false" ht="15" hidden="false" customHeight="false" outlineLevel="0" collapsed="false">
      <c r="A626" s="12" t="s">
        <v>685</v>
      </c>
      <c r="B626" s="13" t="n">
        <v>45850</v>
      </c>
      <c r="C626" s="12" t="str">
        <f aca="false">TEXT(B626,"yyyy-mm")</f>
        <v>2025-07</v>
      </c>
      <c r="D626" s="12" t="s">
        <v>75</v>
      </c>
      <c r="E626" s="12" t="s">
        <v>40</v>
      </c>
      <c r="F626" s="12" t="s">
        <v>41</v>
      </c>
      <c r="G626" s="14" t="n">
        <v>800</v>
      </c>
      <c r="H626" s="15" t="n">
        <v>28.38</v>
      </c>
      <c r="I626" s="15" t="n">
        <v>28.2</v>
      </c>
      <c r="J626" s="16" t="n">
        <f aca="false">G626*H626</f>
        <v>22704</v>
      </c>
      <c r="K626" s="16" t="n">
        <f aca="false">(H626-I626)*G626</f>
        <v>144</v>
      </c>
      <c r="L626" s="17" t="n">
        <f aca="false">IF(I626=0,0,H626/I626-1)</f>
        <v>0.00638297872340421</v>
      </c>
      <c r="M626" s="14" t="n">
        <v>1</v>
      </c>
      <c r="N626" s="18" t="n">
        <v>0.009</v>
      </c>
    </row>
    <row r="627" customFormat="false" ht="15" hidden="false" customHeight="false" outlineLevel="0" collapsed="false">
      <c r="A627" s="12" t="s">
        <v>686</v>
      </c>
      <c r="B627" s="13" t="n">
        <v>45850</v>
      </c>
      <c r="C627" s="12" t="str">
        <f aca="false">TEXT(B627,"yyyy-mm")</f>
        <v>2025-07</v>
      </c>
      <c r="D627" s="12" t="s">
        <v>39</v>
      </c>
      <c r="E627" s="12" t="s">
        <v>49</v>
      </c>
      <c r="F627" s="12" t="s">
        <v>50</v>
      </c>
      <c r="G627" s="14" t="n">
        <v>400</v>
      </c>
      <c r="H627" s="15" t="n">
        <v>20.55</v>
      </c>
      <c r="I627" s="15" t="n">
        <v>20.43</v>
      </c>
      <c r="J627" s="16" t="n">
        <f aca="false">G627*H627</f>
        <v>8220</v>
      </c>
      <c r="K627" s="16" t="n">
        <f aca="false">(H627-I627)*G627</f>
        <v>48.0000000000004</v>
      </c>
      <c r="L627" s="17" t="n">
        <f aca="false">IF(I627=0,0,H627/I627-1)</f>
        <v>0.00587371512481649</v>
      </c>
      <c r="M627" s="14" t="n">
        <v>1</v>
      </c>
      <c r="N627" s="18" t="n">
        <v>0.042</v>
      </c>
    </row>
    <row r="628" customFormat="false" ht="15" hidden="false" customHeight="false" outlineLevel="0" collapsed="false">
      <c r="A628" s="12" t="s">
        <v>687</v>
      </c>
      <c r="B628" s="13" t="n">
        <v>45850</v>
      </c>
      <c r="C628" s="12" t="str">
        <f aca="false">TEXT(B628,"yyyy-mm")</f>
        <v>2025-07</v>
      </c>
      <c r="D628" s="12" t="s">
        <v>53</v>
      </c>
      <c r="E628" s="12" t="s">
        <v>54</v>
      </c>
      <c r="F628" s="12" t="s">
        <v>55</v>
      </c>
      <c r="G628" s="14" t="n">
        <v>400</v>
      </c>
      <c r="H628" s="15" t="n">
        <v>18</v>
      </c>
      <c r="I628" s="15" t="n">
        <v>17.2</v>
      </c>
      <c r="J628" s="16" t="n">
        <f aca="false">G628*H628</f>
        <v>7200</v>
      </c>
      <c r="K628" s="16" t="n">
        <f aca="false">(H628-I628)*G628</f>
        <v>320</v>
      </c>
      <c r="L628" s="17" t="n">
        <f aca="false">IF(I628=0,0,H628/I628-1)</f>
        <v>0.0465116279069768</v>
      </c>
      <c r="M628" s="14" t="n">
        <v>0</v>
      </c>
      <c r="N628" s="18" t="n">
        <v>0.02</v>
      </c>
    </row>
    <row r="629" customFormat="false" ht="15" hidden="false" customHeight="false" outlineLevel="0" collapsed="false">
      <c r="A629" s="12" t="s">
        <v>688</v>
      </c>
      <c r="B629" s="13" t="n">
        <v>45852</v>
      </c>
      <c r="C629" s="12" t="str">
        <f aca="false">TEXT(B629,"yyyy-mm")</f>
        <v>2025-07</v>
      </c>
      <c r="D629" s="12" t="s">
        <v>75</v>
      </c>
      <c r="E629" s="12" t="s">
        <v>76</v>
      </c>
      <c r="F629" s="12" t="s">
        <v>77</v>
      </c>
      <c r="G629" s="14" t="n">
        <v>1600</v>
      </c>
      <c r="H629" s="15" t="n">
        <v>28.91</v>
      </c>
      <c r="I629" s="15" t="n">
        <v>28.14</v>
      </c>
      <c r="J629" s="16" t="n">
        <f aca="false">G629*H629</f>
        <v>46256</v>
      </c>
      <c r="K629" s="16" t="n">
        <f aca="false">(H629-I629)*G629</f>
        <v>1232</v>
      </c>
      <c r="L629" s="17" t="n">
        <f aca="false">IF(I629=0,0,H629/I629-1)</f>
        <v>0.027363184079602</v>
      </c>
      <c r="M629" s="14" t="n">
        <v>1</v>
      </c>
      <c r="N629" s="18" t="n">
        <v>0.028</v>
      </c>
    </row>
    <row r="630" customFormat="false" ht="15" hidden="false" customHeight="false" outlineLevel="0" collapsed="false">
      <c r="A630" s="12" t="s">
        <v>689</v>
      </c>
      <c r="B630" s="13" t="n">
        <v>45852</v>
      </c>
      <c r="C630" s="12" t="str">
        <f aca="false">TEXT(B630,"yyyy-mm")</f>
        <v>2025-07</v>
      </c>
      <c r="D630" s="12" t="s">
        <v>53</v>
      </c>
      <c r="E630" s="12" t="s">
        <v>54</v>
      </c>
      <c r="F630" s="12" t="s">
        <v>55</v>
      </c>
      <c r="G630" s="14" t="n">
        <v>2000</v>
      </c>
      <c r="H630" s="15" t="n">
        <v>18.38</v>
      </c>
      <c r="I630" s="15" t="n">
        <v>17.77</v>
      </c>
      <c r="J630" s="16" t="n">
        <f aca="false">G630*H630</f>
        <v>36760</v>
      </c>
      <c r="K630" s="16" t="n">
        <f aca="false">(H630-I630)*G630</f>
        <v>1220</v>
      </c>
      <c r="L630" s="17" t="n">
        <f aca="false">IF(I630=0,0,H630/I630-1)</f>
        <v>0.0343275182892515</v>
      </c>
      <c r="M630" s="14" t="n">
        <v>1</v>
      </c>
      <c r="N630" s="18" t="n">
        <v>0.008</v>
      </c>
    </row>
    <row r="631" customFormat="false" ht="15" hidden="false" customHeight="false" outlineLevel="0" collapsed="false">
      <c r="A631" s="12" t="s">
        <v>690</v>
      </c>
      <c r="B631" s="13" t="n">
        <v>45852</v>
      </c>
      <c r="C631" s="12" t="str">
        <f aca="false">TEXT(B631,"yyyy-mm")</f>
        <v>2025-07</v>
      </c>
      <c r="D631" s="12" t="s">
        <v>58</v>
      </c>
      <c r="E631" s="12" t="s">
        <v>59</v>
      </c>
      <c r="F631" s="12" t="s">
        <v>55</v>
      </c>
      <c r="G631" s="14" t="n">
        <v>600</v>
      </c>
      <c r="H631" s="15" t="n">
        <v>40.5</v>
      </c>
      <c r="I631" s="15" t="n">
        <v>37.88</v>
      </c>
      <c r="J631" s="16" t="n">
        <f aca="false">G631*H631</f>
        <v>24300</v>
      </c>
      <c r="K631" s="16" t="n">
        <f aca="false">(H631-I631)*G631</f>
        <v>1572</v>
      </c>
      <c r="L631" s="17" t="n">
        <f aca="false">IF(I631=0,0,H631/I631-1)</f>
        <v>0.0691657866948257</v>
      </c>
      <c r="M631" s="14" t="n">
        <v>1</v>
      </c>
      <c r="N631" s="18" t="n">
        <v>0.026</v>
      </c>
    </row>
    <row r="632" customFormat="false" ht="15" hidden="false" customHeight="false" outlineLevel="0" collapsed="false">
      <c r="A632" s="12" t="s">
        <v>691</v>
      </c>
      <c r="B632" s="13" t="n">
        <v>45852</v>
      </c>
      <c r="C632" s="12" t="str">
        <f aca="false">TEXT(B632,"yyyy-mm")</f>
        <v>2025-07</v>
      </c>
      <c r="D632" s="12" t="s">
        <v>35</v>
      </c>
      <c r="E632" s="12" t="s">
        <v>36</v>
      </c>
      <c r="F632" s="12" t="s">
        <v>37</v>
      </c>
      <c r="G632" s="14" t="n">
        <v>2000</v>
      </c>
      <c r="H632" s="15" t="n">
        <v>17.73</v>
      </c>
      <c r="I632" s="15" t="n">
        <v>17.39</v>
      </c>
      <c r="J632" s="16" t="n">
        <f aca="false">G632*H632</f>
        <v>35460</v>
      </c>
      <c r="K632" s="16" t="n">
        <f aca="false">(H632-I632)*G632</f>
        <v>680</v>
      </c>
      <c r="L632" s="17" t="n">
        <f aca="false">IF(I632=0,0,H632/I632-1)</f>
        <v>0.019551466359977</v>
      </c>
      <c r="M632" s="14" t="n">
        <v>0</v>
      </c>
      <c r="N632" s="18" t="n">
        <v>0.021</v>
      </c>
    </row>
    <row r="633" customFormat="false" ht="15" hidden="false" customHeight="false" outlineLevel="0" collapsed="false">
      <c r="A633" s="12" t="s">
        <v>692</v>
      </c>
      <c r="B633" s="13" t="n">
        <v>45852</v>
      </c>
      <c r="C633" s="12" t="str">
        <f aca="false">TEXT(B633,"yyyy-mm")</f>
        <v>2025-07</v>
      </c>
      <c r="D633" s="12" t="s">
        <v>75</v>
      </c>
      <c r="E633" s="12" t="s">
        <v>49</v>
      </c>
      <c r="F633" s="12" t="s">
        <v>50</v>
      </c>
      <c r="G633" s="14" t="n">
        <v>800</v>
      </c>
      <c r="H633" s="15" t="n">
        <v>27.48</v>
      </c>
      <c r="I633" s="15" t="n">
        <v>28.28</v>
      </c>
      <c r="J633" s="16" t="n">
        <f aca="false">G633*H633</f>
        <v>21984</v>
      </c>
      <c r="K633" s="16" t="n">
        <f aca="false">(H633-I633)*G633</f>
        <v>-640.000000000001</v>
      </c>
      <c r="L633" s="17" t="n">
        <f aca="false">IF(I633=0,0,H633/I633-1)</f>
        <v>-0.0282885431400283</v>
      </c>
      <c r="M633" s="14" t="n">
        <v>1</v>
      </c>
      <c r="N633" s="18" t="n">
        <v>0.054</v>
      </c>
    </row>
    <row r="634" customFormat="false" ht="15" hidden="false" customHeight="false" outlineLevel="0" collapsed="false">
      <c r="A634" s="12" t="s">
        <v>693</v>
      </c>
      <c r="B634" s="13" t="n">
        <v>45852</v>
      </c>
      <c r="C634" s="12" t="str">
        <f aca="false">TEXT(B634,"yyyy-mm")</f>
        <v>2025-07</v>
      </c>
      <c r="D634" s="12" t="s">
        <v>39</v>
      </c>
      <c r="E634" s="12" t="s">
        <v>46</v>
      </c>
      <c r="F634" s="12" t="s">
        <v>47</v>
      </c>
      <c r="G634" s="14" t="n">
        <v>600</v>
      </c>
      <c r="H634" s="15" t="n">
        <v>20.21</v>
      </c>
      <c r="I634" s="15" t="n">
        <v>19.53</v>
      </c>
      <c r="J634" s="16" t="n">
        <f aca="false">G634*H634</f>
        <v>12126</v>
      </c>
      <c r="K634" s="16" t="n">
        <f aca="false">(H634-I634)*G634</f>
        <v>408</v>
      </c>
      <c r="L634" s="17" t="n">
        <f aca="false">IF(I634=0,0,H634/I634-1)</f>
        <v>0.0348182283666154</v>
      </c>
      <c r="M634" s="14" t="n">
        <v>1</v>
      </c>
      <c r="N634" s="18" t="n">
        <v>0.009</v>
      </c>
    </row>
    <row r="635" customFormat="false" ht="15" hidden="false" customHeight="false" outlineLevel="0" collapsed="false">
      <c r="A635" s="12" t="s">
        <v>694</v>
      </c>
      <c r="B635" s="13" t="n">
        <v>45852</v>
      </c>
      <c r="C635" s="12" t="str">
        <f aca="false">TEXT(B635,"yyyy-mm")</f>
        <v>2025-07</v>
      </c>
      <c r="D635" s="12" t="s">
        <v>53</v>
      </c>
      <c r="E635" s="12" t="s">
        <v>49</v>
      </c>
      <c r="F635" s="12" t="s">
        <v>50</v>
      </c>
      <c r="G635" s="14" t="n">
        <v>1600</v>
      </c>
      <c r="H635" s="15" t="n">
        <v>17.34</v>
      </c>
      <c r="I635" s="15" t="n">
        <v>17.83</v>
      </c>
      <c r="J635" s="16" t="n">
        <f aca="false">G635*H635</f>
        <v>27744</v>
      </c>
      <c r="K635" s="16" t="n">
        <f aca="false">(H635-I635)*G635</f>
        <v>-783.999999999998</v>
      </c>
      <c r="L635" s="17" t="n">
        <f aca="false">IF(I635=0,0,H635/I635-1)</f>
        <v>-0.0274817722938866</v>
      </c>
      <c r="M635" s="14" t="n">
        <v>1</v>
      </c>
      <c r="N635" s="18" t="n">
        <v>0.017</v>
      </c>
    </row>
    <row r="636" customFormat="false" ht="15" hidden="false" customHeight="false" outlineLevel="0" collapsed="false">
      <c r="A636" s="12" t="s">
        <v>695</v>
      </c>
      <c r="B636" s="13" t="n">
        <v>45853</v>
      </c>
      <c r="C636" s="12" t="str">
        <f aca="false">TEXT(B636,"yyyy-mm")</f>
        <v>2025-07</v>
      </c>
      <c r="D636" s="12" t="s">
        <v>75</v>
      </c>
      <c r="E636" s="12" t="s">
        <v>40</v>
      </c>
      <c r="F636" s="12" t="s">
        <v>41</v>
      </c>
      <c r="G636" s="14" t="n">
        <v>800</v>
      </c>
      <c r="H636" s="15" t="n">
        <v>28.79</v>
      </c>
      <c r="I636" s="15" t="n">
        <v>28.39</v>
      </c>
      <c r="J636" s="16" t="n">
        <f aca="false">G636*H636</f>
        <v>23032</v>
      </c>
      <c r="K636" s="16" t="n">
        <f aca="false">(H636-I636)*G636</f>
        <v>319.999999999999</v>
      </c>
      <c r="L636" s="17" t="n">
        <f aca="false">IF(I636=0,0,H636/I636-1)</f>
        <v>0.0140894681225783</v>
      </c>
      <c r="M636" s="14" t="n">
        <v>1</v>
      </c>
      <c r="N636" s="18" t="n">
        <v>0.012</v>
      </c>
    </row>
    <row r="637" customFormat="false" ht="15" hidden="false" customHeight="false" outlineLevel="0" collapsed="false">
      <c r="A637" s="12" t="s">
        <v>696</v>
      </c>
      <c r="B637" s="13" t="n">
        <v>45853</v>
      </c>
      <c r="C637" s="12" t="str">
        <f aca="false">TEXT(B637,"yyyy-mm")</f>
        <v>2025-07</v>
      </c>
      <c r="D637" s="12" t="s">
        <v>75</v>
      </c>
      <c r="E637" s="12" t="s">
        <v>76</v>
      </c>
      <c r="F637" s="12" t="s">
        <v>77</v>
      </c>
      <c r="G637" s="14" t="n">
        <v>2000</v>
      </c>
      <c r="H637" s="15" t="n">
        <v>28.8</v>
      </c>
      <c r="I637" s="15" t="n">
        <v>28.73</v>
      </c>
      <c r="J637" s="16" t="n">
        <f aca="false">G637*H637</f>
        <v>57600</v>
      </c>
      <c r="K637" s="16" t="n">
        <f aca="false">(H637-I637)*G637</f>
        <v>140.000000000001</v>
      </c>
      <c r="L637" s="17" t="n">
        <f aca="false">IF(I637=0,0,H637/I637-1)</f>
        <v>0.00243647754959975</v>
      </c>
      <c r="M637" s="14" t="n">
        <v>1</v>
      </c>
      <c r="N637" s="18" t="n">
        <v>0.024</v>
      </c>
    </row>
    <row r="638" customFormat="false" ht="15" hidden="false" customHeight="false" outlineLevel="0" collapsed="false">
      <c r="A638" s="12" t="s">
        <v>697</v>
      </c>
      <c r="B638" s="13" t="n">
        <v>45854</v>
      </c>
      <c r="C638" s="12" t="str">
        <f aca="false">TEXT(B638,"yyyy-mm")</f>
        <v>2025-07</v>
      </c>
      <c r="D638" s="12" t="s">
        <v>35</v>
      </c>
      <c r="E638" s="12" t="s">
        <v>43</v>
      </c>
      <c r="F638" s="12" t="s">
        <v>44</v>
      </c>
      <c r="G638" s="14" t="n">
        <v>2000</v>
      </c>
      <c r="H638" s="15" t="n">
        <v>17.51</v>
      </c>
      <c r="I638" s="15" t="n">
        <v>16.98</v>
      </c>
      <c r="J638" s="16" t="n">
        <f aca="false">G638*H638</f>
        <v>35020</v>
      </c>
      <c r="K638" s="16" t="n">
        <f aca="false">(H638-I638)*G638</f>
        <v>1060</v>
      </c>
      <c r="L638" s="17" t="n">
        <f aca="false">IF(I638=0,0,H638/I638-1)</f>
        <v>0.0312131919905772</v>
      </c>
      <c r="M638" s="14" t="n">
        <v>1</v>
      </c>
      <c r="N638" s="18" t="n">
        <v>0.007</v>
      </c>
    </row>
    <row r="639" customFormat="false" ht="15" hidden="false" customHeight="false" outlineLevel="0" collapsed="false">
      <c r="A639" s="12" t="s">
        <v>698</v>
      </c>
      <c r="B639" s="13" t="n">
        <v>45854</v>
      </c>
      <c r="C639" s="12" t="str">
        <f aca="false">TEXT(B639,"yyyy-mm")</f>
        <v>2025-07</v>
      </c>
      <c r="D639" s="12" t="s">
        <v>111</v>
      </c>
      <c r="E639" s="12" t="s">
        <v>92</v>
      </c>
      <c r="F639" s="12" t="s">
        <v>93</v>
      </c>
      <c r="G639" s="14" t="n">
        <v>600</v>
      </c>
      <c r="H639" s="15" t="n">
        <v>20.73</v>
      </c>
      <c r="I639" s="15" t="n">
        <v>22.16</v>
      </c>
      <c r="J639" s="16" t="n">
        <f aca="false">G639*H639</f>
        <v>12438</v>
      </c>
      <c r="K639" s="16" t="n">
        <f aca="false">(H639-I639)*G639</f>
        <v>-858</v>
      </c>
      <c r="L639" s="17" t="n">
        <f aca="false">IF(I639=0,0,H639/I639-1)</f>
        <v>-0.0645306859205777</v>
      </c>
      <c r="M639" s="14" t="n">
        <v>1</v>
      </c>
      <c r="N639" s="18" t="n">
        <v>0.054</v>
      </c>
    </row>
    <row r="640" customFormat="false" ht="15" hidden="false" customHeight="false" outlineLevel="0" collapsed="false">
      <c r="A640" s="12" t="s">
        <v>699</v>
      </c>
      <c r="B640" s="13" t="n">
        <v>45854</v>
      </c>
      <c r="C640" s="12" t="str">
        <f aca="false">TEXT(B640,"yyyy-mm")</f>
        <v>2025-07</v>
      </c>
      <c r="D640" s="12" t="s">
        <v>39</v>
      </c>
      <c r="E640" s="12" t="s">
        <v>49</v>
      </c>
      <c r="F640" s="12" t="s">
        <v>50</v>
      </c>
      <c r="G640" s="14" t="n">
        <v>200</v>
      </c>
      <c r="H640" s="15" t="n">
        <v>19.5</v>
      </c>
      <c r="I640" s="15" t="n">
        <v>19.6</v>
      </c>
      <c r="J640" s="16" t="n">
        <f aca="false">G640*H640</f>
        <v>3900</v>
      </c>
      <c r="K640" s="16" t="n">
        <f aca="false">(H640-I640)*G640</f>
        <v>-20.0000000000003</v>
      </c>
      <c r="L640" s="17" t="n">
        <f aca="false">IF(I640=0,0,H640/I640-1)</f>
        <v>-0.00510204081632659</v>
      </c>
      <c r="M640" s="14" t="n">
        <v>1</v>
      </c>
      <c r="N640" s="18" t="n">
        <v>0.022</v>
      </c>
    </row>
    <row r="641" customFormat="false" ht="15" hidden="false" customHeight="false" outlineLevel="0" collapsed="false">
      <c r="A641" s="12" t="s">
        <v>700</v>
      </c>
      <c r="B641" s="13" t="n">
        <v>45855</v>
      </c>
      <c r="C641" s="12" t="str">
        <f aca="false">TEXT(B641,"yyyy-mm")</f>
        <v>2025-07</v>
      </c>
      <c r="D641" s="12" t="s">
        <v>58</v>
      </c>
      <c r="E641" s="12" t="s">
        <v>59</v>
      </c>
      <c r="F641" s="12" t="s">
        <v>55</v>
      </c>
      <c r="G641" s="14" t="n">
        <v>2000</v>
      </c>
      <c r="H641" s="15" t="n">
        <v>40.96</v>
      </c>
      <c r="I641" s="15" t="n">
        <v>38.11</v>
      </c>
      <c r="J641" s="16" t="n">
        <f aca="false">G641*H641</f>
        <v>81920</v>
      </c>
      <c r="K641" s="16" t="n">
        <f aca="false">(H641-I641)*G641</f>
        <v>5700</v>
      </c>
      <c r="L641" s="17" t="n">
        <f aca="false">IF(I641=0,0,H641/I641-1)</f>
        <v>0.0747835213854631</v>
      </c>
      <c r="M641" s="14" t="n">
        <v>1</v>
      </c>
      <c r="N641" s="18" t="n">
        <v>0.026</v>
      </c>
    </row>
    <row r="642" customFormat="false" ht="15" hidden="false" customHeight="false" outlineLevel="0" collapsed="false">
      <c r="A642" s="12" t="s">
        <v>701</v>
      </c>
      <c r="B642" s="13" t="n">
        <v>45855</v>
      </c>
      <c r="C642" s="12" t="str">
        <f aca="false">TEXT(B642,"yyyy-mm")</f>
        <v>2025-07</v>
      </c>
      <c r="D642" s="12" t="s">
        <v>58</v>
      </c>
      <c r="E642" s="12" t="s">
        <v>59</v>
      </c>
      <c r="F642" s="12" t="s">
        <v>55</v>
      </c>
      <c r="G642" s="14" t="n">
        <v>1000</v>
      </c>
      <c r="H642" s="15" t="n">
        <v>37.98</v>
      </c>
      <c r="I642" s="15" t="n">
        <v>36.89</v>
      </c>
      <c r="J642" s="16" t="n">
        <f aca="false">G642*H642</f>
        <v>37980</v>
      </c>
      <c r="K642" s="16" t="n">
        <f aca="false">(H642-I642)*G642</f>
        <v>1090</v>
      </c>
      <c r="L642" s="17" t="n">
        <f aca="false">IF(I642=0,0,H642/I642-1)</f>
        <v>0.0295473027920845</v>
      </c>
      <c r="M642" s="14" t="n">
        <v>1</v>
      </c>
      <c r="N642" s="18" t="n">
        <v>0.021</v>
      </c>
    </row>
    <row r="643" customFormat="false" ht="15" hidden="false" customHeight="false" outlineLevel="0" collapsed="false">
      <c r="A643" s="12" t="s">
        <v>702</v>
      </c>
      <c r="B643" s="13" t="n">
        <v>45855</v>
      </c>
      <c r="C643" s="12" t="str">
        <f aca="false">TEXT(B643,"yyyy-mm")</f>
        <v>2025-07</v>
      </c>
      <c r="D643" s="12" t="s">
        <v>75</v>
      </c>
      <c r="E643" s="12" t="s">
        <v>76</v>
      </c>
      <c r="F643" s="12" t="s">
        <v>77</v>
      </c>
      <c r="G643" s="14" t="n">
        <v>1000</v>
      </c>
      <c r="H643" s="15" t="n">
        <v>27.63</v>
      </c>
      <c r="I643" s="15" t="n">
        <v>27.65</v>
      </c>
      <c r="J643" s="16" t="n">
        <f aca="false">G643*H643</f>
        <v>27630</v>
      </c>
      <c r="K643" s="16" t="n">
        <f aca="false">(H643-I643)*G643</f>
        <v>-19.9999999999996</v>
      </c>
      <c r="L643" s="17" t="n">
        <f aca="false">IF(I643=0,0,H643/I643-1)</f>
        <v>-0.000723327305605759</v>
      </c>
      <c r="M643" s="14" t="n">
        <v>1</v>
      </c>
      <c r="N643" s="18" t="n">
        <v>0.031</v>
      </c>
    </row>
    <row r="644" customFormat="false" ht="15" hidden="false" customHeight="false" outlineLevel="0" collapsed="false">
      <c r="A644" s="12" t="s">
        <v>703</v>
      </c>
      <c r="B644" s="13" t="n">
        <v>45856</v>
      </c>
      <c r="C644" s="12" t="str">
        <f aca="false">TEXT(B644,"yyyy-mm")</f>
        <v>2025-07</v>
      </c>
      <c r="D644" s="12" t="s">
        <v>53</v>
      </c>
      <c r="E644" s="12" t="s">
        <v>54</v>
      </c>
      <c r="F644" s="12" t="s">
        <v>55</v>
      </c>
      <c r="G644" s="14" t="n">
        <v>1200</v>
      </c>
      <c r="H644" s="15" t="n">
        <v>18.01</v>
      </c>
      <c r="I644" s="15" t="n">
        <v>17.8</v>
      </c>
      <c r="J644" s="16" t="n">
        <f aca="false">G644*H644</f>
        <v>21612</v>
      </c>
      <c r="K644" s="16" t="n">
        <f aca="false">(H644-I644)*G644</f>
        <v>252.000000000001</v>
      </c>
      <c r="L644" s="17" t="n">
        <f aca="false">IF(I644=0,0,H644/I644-1)</f>
        <v>0.0117977528089888</v>
      </c>
      <c r="M644" s="14" t="n">
        <v>1</v>
      </c>
      <c r="N644" s="18" t="n">
        <v>0.019</v>
      </c>
    </row>
    <row r="645" customFormat="false" ht="15" hidden="false" customHeight="false" outlineLevel="0" collapsed="false">
      <c r="A645" s="12" t="s">
        <v>704</v>
      </c>
      <c r="B645" s="13" t="n">
        <v>45856</v>
      </c>
      <c r="C645" s="12" t="str">
        <f aca="false">TEXT(B645,"yyyy-mm")</f>
        <v>2025-07</v>
      </c>
      <c r="D645" s="12" t="s">
        <v>39</v>
      </c>
      <c r="E645" s="12" t="s">
        <v>46</v>
      </c>
      <c r="F645" s="12" t="s">
        <v>47</v>
      </c>
      <c r="G645" s="14" t="n">
        <v>200</v>
      </c>
      <c r="H645" s="15" t="n">
        <v>22.17</v>
      </c>
      <c r="I645" s="15" t="n">
        <v>20.38</v>
      </c>
      <c r="J645" s="16" t="n">
        <f aca="false">G645*H645</f>
        <v>4434</v>
      </c>
      <c r="K645" s="16" t="n">
        <f aca="false">(H645-I645)*G645</f>
        <v>358.000000000001</v>
      </c>
      <c r="L645" s="17" t="n">
        <f aca="false">IF(I645=0,0,H645/I645-1)</f>
        <v>0.087831207065751</v>
      </c>
      <c r="M645" s="14" t="n">
        <v>1</v>
      </c>
      <c r="N645" s="18" t="n">
        <v>0.011</v>
      </c>
    </row>
    <row r="646" customFormat="false" ht="15" hidden="false" customHeight="false" outlineLevel="0" collapsed="false">
      <c r="A646" s="12" t="s">
        <v>705</v>
      </c>
      <c r="B646" s="13" t="n">
        <v>45857</v>
      </c>
      <c r="C646" s="12" t="str">
        <f aca="false">TEXT(B646,"yyyy-mm")</f>
        <v>2025-07</v>
      </c>
      <c r="D646" s="12" t="s">
        <v>80</v>
      </c>
      <c r="E646" s="12" t="s">
        <v>92</v>
      </c>
      <c r="F646" s="12" t="s">
        <v>93</v>
      </c>
      <c r="G646" s="14" t="n">
        <v>600</v>
      </c>
      <c r="H646" s="15" t="n">
        <v>23.58</v>
      </c>
      <c r="I646" s="15" t="n">
        <v>24.57</v>
      </c>
      <c r="J646" s="16" t="n">
        <f aca="false">G646*H646</f>
        <v>14148</v>
      </c>
      <c r="K646" s="16" t="n">
        <f aca="false">(H646-I646)*G646</f>
        <v>-594.000000000001</v>
      </c>
      <c r="L646" s="17" t="n">
        <f aca="false">IF(I646=0,0,H646/I646-1)</f>
        <v>-0.0402930402930404</v>
      </c>
      <c r="M646" s="14" t="n">
        <v>1</v>
      </c>
      <c r="N646" s="18" t="n">
        <v>0.031</v>
      </c>
    </row>
    <row r="647" customFormat="false" ht="15" hidden="false" customHeight="false" outlineLevel="0" collapsed="false">
      <c r="A647" s="12" t="s">
        <v>706</v>
      </c>
      <c r="B647" s="13" t="n">
        <v>45857</v>
      </c>
      <c r="C647" s="12" t="str">
        <f aca="false">TEXT(B647,"yyyy-mm")</f>
        <v>2025-07</v>
      </c>
      <c r="D647" s="12" t="s">
        <v>58</v>
      </c>
      <c r="E647" s="12" t="s">
        <v>76</v>
      </c>
      <c r="F647" s="12" t="s">
        <v>77</v>
      </c>
      <c r="G647" s="14" t="n">
        <v>1200</v>
      </c>
      <c r="H647" s="15" t="n">
        <v>36.26</v>
      </c>
      <c r="I647" s="15" t="n">
        <v>37.27</v>
      </c>
      <c r="J647" s="16" t="n">
        <f aca="false">G647*H647</f>
        <v>43512</v>
      </c>
      <c r="K647" s="16" t="n">
        <f aca="false">(H647-I647)*G647</f>
        <v>-1212.00000000001</v>
      </c>
      <c r="L647" s="17" t="n">
        <f aca="false">IF(I647=0,0,H647/I647-1)</f>
        <v>-0.0270995438690638</v>
      </c>
      <c r="M647" s="14" t="n">
        <v>0</v>
      </c>
      <c r="N647" s="18" t="n">
        <v>0.015</v>
      </c>
    </row>
    <row r="648" customFormat="false" ht="15" hidden="false" customHeight="false" outlineLevel="0" collapsed="false">
      <c r="A648" s="12" t="s">
        <v>707</v>
      </c>
      <c r="B648" s="13" t="n">
        <v>45857</v>
      </c>
      <c r="C648" s="12" t="str">
        <f aca="false">TEXT(B648,"yyyy-mm")</f>
        <v>2025-07</v>
      </c>
      <c r="D648" s="12" t="s">
        <v>61</v>
      </c>
      <c r="E648" s="12" t="s">
        <v>36</v>
      </c>
      <c r="F648" s="12" t="s">
        <v>37</v>
      </c>
      <c r="G648" s="14" t="n">
        <v>200</v>
      </c>
      <c r="H648" s="15" t="n">
        <v>14.78</v>
      </c>
      <c r="I648" s="15" t="n">
        <v>15.04</v>
      </c>
      <c r="J648" s="16" t="n">
        <f aca="false">G648*H648</f>
        <v>2956</v>
      </c>
      <c r="K648" s="16" t="n">
        <f aca="false">(H648-I648)*G648</f>
        <v>-52</v>
      </c>
      <c r="L648" s="17" t="n">
        <f aca="false">IF(I648=0,0,H648/I648-1)</f>
        <v>-0.0172872340425532</v>
      </c>
      <c r="M648" s="14" t="n">
        <v>1</v>
      </c>
      <c r="N648" s="18" t="n">
        <v>0.008</v>
      </c>
    </row>
    <row r="649" customFormat="false" ht="15" hidden="false" customHeight="false" outlineLevel="0" collapsed="false">
      <c r="A649" s="12" t="s">
        <v>708</v>
      </c>
      <c r="B649" s="13" t="n">
        <v>45857</v>
      </c>
      <c r="C649" s="12" t="str">
        <f aca="false">TEXT(B649,"yyyy-mm")</f>
        <v>2025-07</v>
      </c>
      <c r="D649" s="12" t="s">
        <v>80</v>
      </c>
      <c r="E649" s="12" t="s">
        <v>81</v>
      </c>
      <c r="F649" s="12" t="s">
        <v>82</v>
      </c>
      <c r="G649" s="14" t="n">
        <v>1200</v>
      </c>
      <c r="H649" s="15" t="n">
        <v>24.66</v>
      </c>
      <c r="I649" s="15" t="n">
        <v>24.51</v>
      </c>
      <c r="J649" s="16" t="n">
        <f aca="false">G649*H649</f>
        <v>29592</v>
      </c>
      <c r="K649" s="16" t="n">
        <f aca="false">(H649-I649)*G649</f>
        <v>179.999999999998</v>
      </c>
      <c r="L649" s="17" t="n">
        <f aca="false">IF(I649=0,0,H649/I649-1)</f>
        <v>0.00611995104039154</v>
      </c>
      <c r="M649" s="14" t="n">
        <v>1</v>
      </c>
      <c r="N649" s="18" t="n">
        <v>0.044</v>
      </c>
    </row>
    <row r="650" customFormat="false" ht="15" hidden="false" customHeight="false" outlineLevel="0" collapsed="false">
      <c r="A650" s="12" t="s">
        <v>709</v>
      </c>
      <c r="B650" s="13" t="n">
        <v>45857</v>
      </c>
      <c r="C650" s="12" t="str">
        <f aca="false">TEXT(B650,"yyyy-mm")</f>
        <v>2025-07</v>
      </c>
      <c r="D650" s="12" t="s">
        <v>39</v>
      </c>
      <c r="E650" s="12" t="s">
        <v>40</v>
      </c>
      <c r="F650" s="12" t="s">
        <v>41</v>
      </c>
      <c r="G650" s="14" t="n">
        <v>1200</v>
      </c>
      <c r="H650" s="15" t="n">
        <v>20.33</v>
      </c>
      <c r="I650" s="15" t="n">
        <v>19.64</v>
      </c>
      <c r="J650" s="16" t="n">
        <f aca="false">G650*H650</f>
        <v>24396</v>
      </c>
      <c r="K650" s="16" t="n">
        <f aca="false">(H650-I650)*G650</f>
        <v>827.999999999997</v>
      </c>
      <c r="L650" s="17" t="n">
        <f aca="false">IF(I650=0,0,H650/I650-1)</f>
        <v>0.0351323828920569</v>
      </c>
      <c r="M650" s="14" t="n">
        <v>1</v>
      </c>
      <c r="N650" s="18" t="n">
        <v>0.021</v>
      </c>
    </row>
    <row r="651" customFormat="false" ht="15" hidden="false" customHeight="false" outlineLevel="0" collapsed="false">
      <c r="A651" s="12" t="s">
        <v>710</v>
      </c>
      <c r="B651" s="13" t="n">
        <v>45857</v>
      </c>
      <c r="C651" s="12" t="str">
        <f aca="false">TEXT(B651,"yyyy-mm")</f>
        <v>2025-07</v>
      </c>
      <c r="D651" s="12" t="s">
        <v>111</v>
      </c>
      <c r="E651" s="12" t="s">
        <v>76</v>
      </c>
      <c r="F651" s="12" t="s">
        <v>77</v>
      </c>
      <c r="G651" s="14" t="n">
        <v>400</v>
      </c>
      <c r="H651" s="15" t="n">
        <v>20.75</v>
      </c>
      <c r="I651" s="15" t="n">
        <v>21.29</v>
      </c>
      <c r="J651" s="16" t="n">
        <f aca="false">G651*H651</f>
        <v>8300</v>
      </c>
      <c r="K651" s="16" t="n">
        <f aca="false">(H651-I651)*G651</f>
        <v>-216</v>
      </c>
      <c r="L651" s="17" t="n">
        <f aca="false">IF(I651=0,0,H651/I651-1)</f>
        <v>-0.0253640206669797</v>
      </c>
      <c r="M651" s="14" t="n">
        <v>1</v>
      </c>
      <c r="N651" s="18" t="n">
        <v>0.021</v>
      </c>
    </row>
    <row r="652" customFormat="false" ht="15" hidden="false" customHeight="false" outlineLevel="0" collapsed="false">
      <c r="A652" s="12" t="s">
        <v>711</v>
      </c>
      <c r="B652" s="13" t="n">
        <v>45858</v>
      </c>
      <c r="C652" s="12" t="str">
        <f aca="false">TEXT(B652,"yyyy-mm")</f>
        <v>2025-07</v>
      </c>
      <c r="D652" s="12" t="s">
        <v>35</v>
      </c>
      <c r="E652" s="12" t="s">
        <v>36</v>
      </c>
      <c r="F652" s="12" t="s">
        <v>37</v>
      </c>
      <c r="G652" s="14" t="n">
        <v>2400</v>
      </c>
      <c r="H652" s="15" t="n">
        <v>17.53</v>
      </c>
      <c r="I652" s="15" t="n">
        <v>17.1</v>
      </c>
      <c r="J652" s="16" t="n">
        <f aca="false">G652*H652</f>
        <v>42072</v>
      </c>
      <c r="K652" s="16" t="n">
        <f aca="false">(H652-I652)*G652</f>
        <v>1032</v>
      </c>
      <c r="L652" s="17" t="n">
        <f aca="false">IF(I652=0,0,H652/I652-1)</f>
        <v>0.0251461988304094</v>
      </c>
      <c r="M652" s="14" t="n">
        <v>1</v>
      </c>
      <c r="N652" s="18" t="n">
        <v>0.019</v>
      </c>
    </row>
    <row r="653" customFormat="false" ht="15" hidden="false" customHeight="false" outlineLevel="0" collapsed="false">
      <c r="A653" s="12" t="s">
        <v>712</v>
      </c>
      <c r="B653" s="13" t="n">
        <v>45858</v>
      </c>
      <c r="C653" s="12" t="str">
        <f aca="false">TEXT(B653,"yyyy-mm")</f>
        <v>2025-07</v>
      </c>
      <c r="D653" s="12" t="s">
        <v>80</v>
      </c>
      <c r="E653" s="12" t="s">
        <v>81</v>
      </c>
      <c r="F653" s="12" t="s">
        <v>82</v>
      </c>
      <c r="G653" s="14" t="n">
        <v>1200</v>
      </c>
      <c r="H653" s="15" t="n">
        <v>24.29</v>
      </c>
      <c r="I653" s="15" t="n">
        <v>25.1</v>
      </c>
      <c r="J653" s="16" t="n">
        <f aca="false">G653*H653</f>
        <v>29148</v>
      </c>
      <c r="K653" s="16" t="n">
        <f aca="false">(H653-I653)*G653</f>
        <v>-972.000000000003</v>
      </c>
      <c r="L653" s="17" t="n">
        <f aca="false">IF(I653=0,0,H653/I653-1)</f>
        <v>-0.0322709163346614</v>
      </c>
      <c r="M653" s="14" t="n">
        <v>1</v>
      </c>
      <c r="N653" s="18" t="n">
        <v>0.037</v>
      </c>
    </row>
    <row r="654" customFormat="false" ht="15" hidden="false" customHeight="false" outlineLevel="0" collapsed="false">
      <c r="A654" s="12" t="s">
        <v>713</v>
      </c>
      <c r="B654" s="13" t="n">
        <v>45858</v>
      </c>
      <c r="C654" s="12" t="str">
        <f aca="false">TEXT(B654,"yyyy-mm")</f>
        <v>2025-07</v>
      </c>
      <c r="D654" s="12" t="s">
        <v>35</v>
      </c>
      <c r="E654" s="12" t="s">
        <v>43</v>
      </c>
      <c r="F654" s="12" t="s">
        <v>44</v>
      </c>
      <c r="G654" s="14" t="n">
        <v>2000</v>
      </c>
      <c r="H654" s="15" t="n">
        <v>17.45</v>
      </c>
      <c r="I654" s="15" t="n">
        <v>16.75</v>
      </c>
      <c r="J654" s="16" t="n">
        <f aca="false">G654*H654</f>
        <v>34900</v>
      </c>
      <c r="K654" s="16" t="n">
        <f aca="false">(H654-I654)*G654</f>
        <v>1400</v>
      </c>
      <c r="L654" s="17" t="n">
        <f aca="false">IF(I654=0,0,H654/I654-1)</f>
        <v>0.0417910447761194</v>
      </c>
      <c r="M654" s="14" t="n">
        <v>1</v>
      </c>
      <c r="N654" s="18" t="n">
        <v>0.007</v>
      </c>
    </row>
    <row r="655" customFormat="false" ht="15" hidden="false" customHeight="false" outlineLevel="0" collapsed="false">
      <c r="A655" s="12" t="s">
        <v>714</v>
      </c>
      <c r="B655" s="13" t="n">
        <v>45858</v>
      </c>
      <c r="C655" s="12" t="str">
        <f aca="false">TEXT(B655,"yyyy-mm")</f>
        <v>2025-07</v>
      </c>
      <c r="D655" s="12" t="s">
        <v>35</v>
      </c>
      <c r="E655" s="12" t="s">
        <v>43</v>
      </c>
      <c r="F655" s="12" t="s">
        <v>44</v>
      </c>
      <c r="G655" s="14" t="n">
        <v>2400</v>
      </c>
      <c r="H655" s="15" t="n">
        <v>17.47</v>
      </c>
      <c r="I655" s="15" t="n">
        <v>16.97</v>
      </c>
      <c r="J655" s="16" t="n">
        <f aca="false">G655*H655</f>
        <v>41928</v>
      </c>
      <c r="K655" s="16" t="n">
        <f aca="false">(H655-I655)*G655</f>
        <v>1200</v>
      </c>
      <c r="L655" s="17" t="n">
        <f aca="false">IF(I655=0,0,H655/I655-1)</f>
        <v>0.0294637595757219</v>
      </c>
      <c r="M655" s="14" t="n">
        <v>1</v>
      </c>
      <c r="N655" s="18" t="n">
        <v>0.017</v>
      </c>
    </row>
    <row r="656" customFormat="false" ht="15" hidden="false" customHeight="false" outlineLevel="0" collapsed="false">
      <c r="A656" s="12" t="s">
        <v>715</v>
      </c>
      <c r="B656" s="13" t="n">
        <v>45859</v>
      </c>
      <c r="C656" s="12" t="str">
        <f aca="false">TEXT(B656,"yyyy-mm")</f>
        <v>2025-07</v>
      </c>
      <c r="D656" s="12" t="s">
        <v>53</v>
      </c>
      <c r="E656" s="12" t="s">
        <v>54</v>
      </c>
      <c r="F656" s="12" t="s">
        <v>55</v>
      </c>
      <c r="G656" s="14" t="n">
        <v>1200</v>
      </c>
      <c r="H656" s="15" t="n">
        <v>17.99</v>
      </c>
      <c r="I656" s="15" t="n">
        <v>17.84</v>
      </c>
      <c r="J656" s="16" t="n">
        <f aca="false">G656*H656</f>
        <v>21588</v>
      </c>
      <c r="K656" s="16" t="n">
        <f aca="false">(H656-I656)*G656</f>
        <v>179.999999999998</v>
      </c>
      <c r="L656" s="17" t="n">
        <f aca="false">IF(I656=0,0,H656/I656-1)</f>
        <v>0.00840807174887881</v>
      </c>
      <c r="M656" s="14" t="n">
        <v>1</v>
      </c>
      <c r="N656" s="18" t="n">
        <v>0.02</v>
      </c>
    </row>
    <row r="657" customFormat="false" ht="15" hidden="false" customHeight="false" outlineLevel="0" collapsed="false">
      <c r="A657" s="12" t="s">
        <v>716</v>
      </c>
      <c r="B657" s="13" t="n">
        <v>45859</v>
      </c>
      <c r="C657" s="12" t="str">
        <f aca="false">TEXT(B657,"yyyy-mm")</f>
        <v>2025-07</v>
      </c>
      <c r="D657" s="12" t="s">
        <v>39</v>
      </c>
      <c r="E657" s="12" t="s">
        <v>40</v>
      </c>
      <c r="F657" s="12" t="s">
        <v>41</v>
      </c>
      <c r="G657" s="14" t="n">
        <v>400</v>
      </c>
      <c r="H657" s="15" t="n">
        <v>19.91</v>
      </c>
      <c r="I657" s="15" t="n">
        <v>20.16</v>
      </c>
      <c r="J657" s="16" t="n">
        <f aca="false">G657*H657</f>
        <v>7964</v>
      </c>
      <c r="K657" s="16" t="n">
        <f aca="false">(H657-I657)*G657</f>
        <v>-100</v>
      </c>
      <c r="L657" s="17" t="n">
        <f aca="false">IF(I657=0,0,H657/I657-1)</f>
        <v>-0.0124007936507936</v>
      </c>
      <c r="M657" s="14" t="n">
        <v>1</v>
      </c>
      <c r="N657" s="18" t="n">
        <v>0.018</v>
      </c>
    </row>
    <row r="658" customFormat="false" ht="15" hidden="false" customHeight="false" outlineLevel="0" collapsed="false">
      <c r="A658" s="12" t="s">
        <v>717</v>
      </c>
      <c r="B658" s="13" t="n">
        <v>45859</v>
      </c>
      <c r="C658" s="12" t="str">
        <f aca="false">TEXT(B658,"yyyy-mm")</f>
        <v>2025-07</v>
      </c>
      <c r="D658" s="12" t="s">
        <v>39</v>
      </c>
      <c r="E658" s="12" t="s">
        <v>46</v>
      </c>
      <c r="F658" s="12" t="s">
        <v>47</v>
      </c>
      <c r="G658" s="14" t="n">
        <v>1000</v>
      </c>
      <c r="H658" s="15" t="n">
        <v>21.63</v>
      </c>
      <c r="I658" s="15" t="n">
        <v>19.86</v>
      </c>
      <c r="J658" s="16" t="n">
        <f aca="false">G658*H658</f>
        <v>21630</v>
      </c>
      <c r="K658" s="16" t="n">
        <f aca="false">(H658-I658)*G658</f>
        <v>1770</v>
      </c>
      <c r="L658" s="17" t="n">
        <f aca="false">IF(I658=0,0,H658/I658-1)</f>
        <v>0.0891238670694865</v>
      </c>
      <c r="M658" s="14" t="n">
        <v>1</v>
      </c>
      <c r="N658" s="18" t="n">
        <v>0.007</v>
      </c>
    </row>
    <row r="659" customFormat="false" ht="15" hidden="false" customHeight="false" outlineLevel="0" collapsed="false">
      <c r="A659" s="12" t="s">
        <v>718</v>
      </c>
      <c r="B659" s="13" t="n">
        <v>45860</v>
      </c>
      <c r="C659" s="12" t="str">
        <f aca="false">TEXT(B659,"yyyy-mm")</f>
        <v>2025-07</v>
      </c>
      <c r="D659" s="12" t="s">
        <v>53</v>
      </c>
      <c r="E659" s="12" t="s">
        <v>54</v>
      </c>
      <c r="F659" s="12" t="s">
        <v>55</v>
      </c>
      <c r="G659" s="14" t="n">
        <v>400</v>
      </c>
      <c r="H659" s="15" t="n">
        <v>17.41</v>
      </c>
      <c r="I659" s="15" t="n">
        <v>17.5</v>
      </c>
      <c r="J659" s="16" t="n">
        <f aca="false">G659*H659</f>
        <v>6964</v>
      </c>
      <c r="K659" s="16" t="n">
        <f aca="false">(H659-I659)*G659</f>
        <v>-35.9999999999999</v>
      </c>
      <c r="L659" s="17" t="n">
        <f aca="false">IF(I659=0,0,H659/I659-1)</f>
        <v>-0.00514285714285712</v>
      </c>
      <c r="M659" s="14" t="n">
        <v>1</v>
      </c>
      <c r="N659" s="18" t="n">
        <v>0.017</v>
      </c>
    </row>
    <row r="660" customFormat="false" ht="15" hidden="false" customHeight="false" outlineLevel="0" collapsed="false">
      <c r="A660" s="12" t="s">
        <v>719</v>
      </c>
      <c r="B660" s="13" t="n">
        <v>45860</v>
      </c>
      <c r="C660" s="12" t="str">
        <f aca="false">TEXT(B660,"yyyy-mm")</f>
        <v>2025-07</v>
      </c>
      <c r="D660" s="12" t="s">
        <v>35</v>
      </c>
      <c r="E660" s="12" t="s">
        <v>43</v>
      </c>
      <c r="F660" s="12" t="s">
        <v>44</v>
      </c>
      <c r="G660" s="14" t="n">
        <v>800</v>
      </c>
      <c r="H660" s="15" t="n">
        <v>17.43</v>
      </c>
      <c r="I660" s="15" t="n">
        <v>17.25</v>
      </c>
      <c r="J660" s="16" t="n">
        <f aca="false">G660*H660</f>
        <v>13944</v>
      </c>
      <c r="K660" s="16" t="n">
        <f aca="false">(H660-I660)*G660</f>
        <v>144</v>
      </c>
      <c r="L660" s="17" t="n">
        <f aca="false">IF(I660=0,0,H660/I660-1)</f>
        <v>0.0104347826086957</v>
      </c>
      <c r="M660" s="14" t="n">
        <v>1</v>
      </c>
      <c r="N660" s="18" t="n">
        <v>0.013</v>
      </c>
    </row>
    <row r="661" customFormat="false" ht="15" hidden="false" customHeight="false" outlineLevel="0" collapsed="false">
      <c r="A661" s="12" t="s">
        <v>720</v>
      </c>
      <c r="B661" s="13" t="n">
        <v>45860</v>
      </c>
      <c r="C661" s="12" t="str">
        <f aca="false">TEXT(B661,"yyyy-mm")</f>
        <v>2025-07</v>
      </c>
      <c r="D661" s="12" t="s">
        <v>61</v>
      </c>
      <c r="E661" s="12" t="s">
        <v>43</v>
      </c>
      <c r="F661" s="12" t="s">
        <v>44</v>
      </c>
      <c r="G661" s="14" t="n">
        <v>2000</v>
      </c>
      <c r="H661" s="15" t="n">
        <v>14.75</v>
      </c>
      <c r="I661" s="15" t="n">
        <v>14.66</v>
      </c>
      <c r="J661" s="16" t="n">
        <f aca="false">G661*H661</f>
        <v>29500</v>
      </c>
      <c r="K661" s="16" t="n">
        <f aca="false">(H661-I661)*G661</f>
        <v>180</v>
      </c>
      <c r="L661" s="17" t="n">
        <f aca="false">IF(I661=0,0,H661/I661-1)</f>
        <v>0.00613915416098232</v>
      </c>
      <c r="M661" s="14" t="n">
        <v>1</v>
      </c>
      <c r="N661" s="18" t="n">
        <v>0.008</v>
      </c>
    </row>
    <row r="662" customFormat="false" ht="15" hidden="false" customHeight="false" outlineLevel="0" collapsed="false">
      <c r="A662" s="12" t="s">
        <v>721</v>
      </c>
      <c r="B662" s="13" t="n">
        <v>45860</v>
      </c>
      <c r="C662" s="12" t="str">
        <f aca="false">TEXT(B662,"yyyy-mm")</f>
        <v>2025-07</v>
      </c>
      <c r="D662" s="12" t="s">
        <v>61</v>
      </c>
      <c r="E662" s="12" t="s">
        <v>36</v>
      </c>
      <c r="F662" s="12" t="s">
        <v>37</v>
      </c>
      <c r="G662" s="14" t="n">
        <v>600</v>
      </c>
      <c r="H662" s="15" t="n">
        <v>14.64</v>
      </c>
      <c r="I662" s="15" t="n">
        <v>14.71</v>
      </c>
      <c r="J662" s="16" t="n">
        <f aca="false">G662*H662</f>
        <v>8784</v>
      </c>
      <c r="K662" s="16" t="n">
        <f aca="false">(H662-I662)*G662</f>
        <v>-42.0000000000002</v>
      </c>
      <c r="L662" s="17" t="n">
        <f aca="false">IF(I662=0,0,H662/I662-1)</f>
        <v>-0.00475866757307952</v>
      </c>
      <c r="M662" s="14" t="n">
        <v>1</v>
      </c>
      <c r="N662" s="18" t="n">
        <v>0.012</v>
      </c>
    </row>
    <row r="663" customFormat="false" ht="15" hidden="false" customHeight="false" outlineLevel="0" collapsed="false">
      <c r="A663" s="12" t="s">
        <v>722</v>
      </c>
      <c r="B663" s="13" t="n">
        <v>45860</v>
      </c>
      <c r="C663" s="12" t="str">
        <f aca="false">TEXT(B663,"yyyy-mm")</f>
        <v>2025-07</v>
      </c>
      <c r="D663" s="12" t="s">
        <v>53</v>
      </c>
      <c r="E663" s="12" t="s">
        <v>54</v>
      </c>
      <c r="F663" s="12" t="s">
        <v>55</v>
      </c>
      <c r="G663" s="14" t="n">
        <v>400</v>
      </c>
      <c r="H663" s="15" t="n">
        <v>17.37</v>
      </c>
      <c r="I663" s="15" t="n">
        <v>17.34</v>
      </c>
      <c r="J663" s="16" t="n">
        <f aca="false">G663*H663</f>
        <v>6948</v>
      </c>
      <c r="K663" s="16" t="n">
        <f aca="false">(H663-I663)*G663</f>
        <v>12.0000000000005</v>
      </c>
      <c r="L663" s="17" t="n">
        <f aca="false">IF(I663=0,0,H663/I663-1)</f>
        <v>0.00173010380622851</v>
      </c>
      <c r="M663" s="14" t="n">
        <v>1</v>
      </c>
      <c r="N663" s="18" t="n">
        <v>0.015</v>
      </c>
    </row>
    <row r="664" customFormat="false" ht="15" hidden="false" customHeight="false" outlineLevel="0" collapsed="false">
      <c r="A664" s="12" t="s">
        <v>723</v>
      </c>
      <c r="B664" s="13" t="n">
        <v>45861</v>
      </c>
      <c r="C664" s="12" t="str">
        <f aca="false">TEXT(B664,"yyyy-mm")</f>
        <v>2025-07</v>
      </c>
      <c r="D664" s="12" t="s">
        <v>61</v>
      </c>
      <c r="E664" s="12" t="s">
        <v>36</v>
      </c>
      <c r="F664" s="12" t="s">
        <v>37</v>
      </c>
      <c r="G664" s="14" t="n">
        <v>200</v>
      </c>
      <c r="H664" s="15" t="n">
        <v>15.71</v>
      </c>
      <c r="I664" s="15" t="n">
        <v>15.32</v>
      </c>
      <c r="J664" s="16" t="n">
        <f aca="false">G664*H664</f>
        <v>3142</v>
      </c>
      <c r="K664" s="16" t="n">
        <f aca="false">(H664-I664)*G664</f>
        <v>78.0000000000001</v>
      </c>
      <c r="L664" s="17" t="n">
        <f aca="false">IF(I664=0,0,H664/I664-1)</f>
        <v>0.0254569190600522</v>
      </c>
      <c r="M664" s="14" t="n">
        <v>1</v>
      </c>
      <c r="N664" s="18" t="n">
        <v>0.018</v>
      </c>
    </row>
    <row r="665" customFormat="false" ht="15" hidden="false" customHeight="false" outlineLevel="0" collapsed="false">
      <c r="A665" s="12" t="s">
        <v>724</v>
      </c>
      <c r="B665" s="13" t="n">
        <v>45861</v>
      </c>
      <c r="C665" s="12" t="str">
        <f aca="false">TEXT(B665,"yyyy-mm")</f>
        <v>2025-07</v>
      </c>
      <c r="D665" s="12" t="s">
        <v>35</v>
      </c>
      <c r="E665" s="12" t="s">
        <v>43</v>
      </c>
      <c r="F665" s="12" t="s">
        <v>44</v>
      </c>
      <c r="G665" s="14" t="n">
        <v>800</v>
      </c>
      <c r="H665" s="15" t="n">
        <v>18.27</v>
      </c>
      <c r="I665" s="15" t="n">
        <v>17.43</v>
      </c>
      <c r="J665" s="16" t="n">
        <f aca="false">G665*H665</f>
        <v>14616</v>
      </c>
      <c r="K665" s="16" t="n">
        <f aca="false">(H665-I665)*G665</f>
        <v>672</v>
      </c>
      <c r="L665" s="17" t="n">
        <f aca="false">IF(I665=0,0,H665/I665-1)</f>
        <v>0.0481927710843373</v>
      </c>
      <c r="M665" s="14" t="n">
        <v>1</v>
      </c>
      <c r="N665" s="18" t="n">
        <v>0.006</v>
      </c>
    </row>
    <row r="666" customFormat="false" ht="15" hidden="false" customHeight="false" outlineLevel="0" collapsed="false">
      <c r="A666" s="12" t="s">
        <v>725</v>
      </c>
      <c r="B666" s="13" t="n">
        <v>45862</v>
      </c>
      <c r="C666" s="12" t="str">
        <f aca="false">TEXT(B666,"yyyy-mm")</f>
        <v>2025-07</v>
      </c>
      <c r="D666" s="12" t="s">
        <v>80</v>
      </c>
      <c r="E666" s="12" t="s">
        <v>81</v>
      </c>
      <c r="F666" s="12" t="s">
        <v>82</v>
      </c>
      <c r="G666" s="14" t="n">
        <v>1000</v>
      </c>
      <c r="H666" s="15" t="n">
        <v>24.17</v>
      </c>
      <c r="I666" s="15" t="n">
        <v>24.98</v>
      </c>
      <c r="J666" s="16" t="n">
        <f aca="false">G666*H666</f>
        <v>24170</v>
      </c>
      <c r="K666" s="16" t="n">
        <f aca="false">(H666-I666)*G666</f>
        <v>-809.999999999999</v>
      </c>
      <c r="L666" s="17" t="n">
        <f aca="false">IF(I666=0,0,H666/I666-1)</f>
        <v>-0.0324259407526021</v>
      </c>
      <c r="M666" s="14" t="n">
        <v>1</v>
      </c>
      <c r="N666" s="18" t="n">
        <v>0.027</v>
      </c>
    </row>
    <row r="667" customFormat="false" ht="15" hidden="false" customHeight="false" outlineLevel="0" collapsed="false">
      <c r="A667" s="12" t="s">
        <v>726</v>
      </c>
      <c r="B667" s="13" t="n">
        <v>45862</v>
      </c>
      <c r="C667" s="12" t="str">
        <f aca="false">TEXT(B667,"yyyy-mm")</f>
        <v>2025-07</v>
      </c>
      <c r="D667" s="12" t="s">
        <v>80</v>
      </c>
      <c r="E667" s="12" t="s">
        <v>81</v>
      </c>
      <c r="F667" s="12" t="s">
        <v>82</v>
      </c>
      <c r="G667" s="14" t="n">
        <v>1600</v>
      </c>
      <c r="H667" s="15" t="n">
        <v>23.05</v>
      </c>
      <c r="I667" s="15" t="n">
        <v>24.27</v>
      </c>
      <c r="J667" s="16" t="n">
        <f aca="false">G667*H667</f>
        <v>36880</v>
      </c>
      <c r="K667" s="16" t="n">
        <f aca="false">(H667-I667)*G667</f>
        <v>-1952</v>
      </c>
      <c r="L667" s="17" t="n">
        <f aca="false">IF(I667=0,0,H667/I667-1)</f>
        <v>-0.0502678203543469</v>
      </c>
      <c r="M667" s="14" t="n">
        <v>1</v>
      </c>
      <c r="N667" s="18" t="n">
        <v>0.037</v>
      </c>
    </row>
    <row r="668" customFormat="false" ht="15" hidden="false" customHeight="false" outlineLevel="0" collapsed="false">
      <c r="A668" s="12" t="s">
        <v>727</v>
      </c>
      <c r="B668" s="13" t="n">
        <v>45862</v>
      </c>
      <c r="C668" s="12" t="str">
        <f aca="false">TEXT(B668,"yyyy-mm")</f>
        <v>2025-07</v>
      </c>
      <c r="D668" s="12" t="s">
        <v>53</v>
      </c>
      <c r="E668" s="12" t="s">
        <v>54</v>
      </c>
      <c r="F668" s="12" t="s">
        <v>55</v>
      </c>
      <c r="G668" s="14" t="n">
        <v>400</v>
      </c>
      <c r="H668" s="15" t="n">
        <v>18.01</v>
      </c>
      <c r="I668" s="15" t="n">
        <v>17.31</v>
      </c>
      <c r="J668" s="16" t="n">
        <f aca="false">G668*H668</f>
        <v>7204</v>
      </c>
      <c r="K668" s="16" t="n">
        <f aca="false">(H668-I668)*G668</f>
        <v>280.000000000001</v>
      </c>
      <c r="L668" s="17" t="n">
        <f aca="false">IF(I668=0,0,H668/I668-1)</f>
        <v>0.0404390525707685</v>
      </c>
      <c r="M668" s="14" t="n">
        <v>1</v>
      </c>
      <c r="N668" s="18" t="n">
        <v>0.017</v>
      </c>
    </row>
    <row r="669" customFormat="false" ht="15" hidden="false" customHeight="false" outlineLevel="0" collapsed="false">
      <c r="A669" s="12" t="s">
        <v>728</v>
      </c>
      <c r="B669" s="13" t="n">
        <v>45863</v>
      </c>
      <c r="C669" s="12" t="str">
        <f aca="false">TEXT(B669,"yyyy-mm")</f>
        <v>2025-07</v>
      </c>
      <c r="D669" s="12" t="s">
        <v>61</v>
      </c>
      <c r="E669" s="12" t="s">
        <v>43</v>
      </c>
      <c r="F669" s="12" t="s">
        <v>44</v>
      </c>
      <c r="G669" s="14" t="n">
        <v>1600</v>
      </c>
      <c r="H669" s="15" t="n">
        <v>16.07</v>
      </c>
      <c r="I669" s="15" t="n">
        <v>15.12</v>
      </c>
      <c r="J669" s="16" t="n">
        <f aca="false">G669*H669</f>
        <v>25712</v>
      </c>
      <c r="K669" s="16" t="n">
        <f aca="false">(H669-I669)*G669</f>
        <v>1520</v>
      </c>
      <c r="L669" s="17" t="n">
        <f aca="false">IF(I669=0,0,H669/I669-1)</f>
        <v>0.0628306878306879</v>
      </c>
      <c r="M669" s="14" t="n">
        <v>0</v>
      </c>
      <c r="N669" s="18" t="n">
        <v>0.017</v>
      </c>
    </row>
    <row r="670" customFormat="false" ht="15" hidden="false" customHeight="false" outlineLevel="0" collapsed="false">
      <c r="A670" s="12" t="s">
        <v>729</v>
      </c>
      <c r="B670" s="13" t="n">
        <v>45863</v>
      </c>
      <c r="C670" s="12" t="str">
        <f aca="false">TEXT(B670,"yyyy-mm")</f>
        <v>2025-07</v>
      </c>
      <c r="D670" s="12" t="s">
        <v>61</v>
      </c>
      <c r="E670" s="12" t="s">
        <v>43</v>
      </c>
      <c r="F670" s="12" t="s">
        <v>44</v>
      </c>
      <c r="G670" s="14" t="n">
        <v>800</v>
      </c>
      <c r="H670" s="15" t="n">
        <v>16.04</v>
      </c>
      <c r="I670" s="15" t="n">
        <v>15.47</v>
      </c>
      <c r="J670" s="16" t="n">
        <f aca="false">G670*H670</f>
        <v>12832</v>
      </c>
      <c r="K670" s="16" t="n">
        <f aca="false">(H670-I670)*G670</f>
        <v>455.999999999999</v>
      </c>
      <c r="L670" s="17" t="n">
        <f aca="false">IF(I670=0,0,H670/I670-1)</f>
        <v>0.0368455074337426</v>
      </c>
      <c r="M670" s="14" t="n">
        <v>1</v>
      </c>
      <c r="N670" s="18" t="n">
        <v>0.006</v>
      </c>
    </row>
    <row r="671" customFormat="false" ht="15" hidden="false" customHeight="false" outlineLevel="0" collapsed="false">
      <c r="A671" s="12" t="s">
        <v>730</v>
      </c>
      <c r="B671" s="13" t="n">
        <v>45863</v>
      </c>
      <c r="C671" s="12" t="str">
        <f aca="false">TEXT(B671,"yyyy-mm")</f>
        <v>2025-07</v>
      </c>
      <c r="D671" s="12" t="s">
        <v>39</v>
      </c>
      <c r="E671" s="12" t="s">
        <v>46</v>
      </c>
      <c r="F671" s="12" t="s">
        <v>47</v>
      </c>
      <c r="G671" s="14" t="n">
        <v>600</v>
      </c>
      <c r="H671" s="15" t="n">
        <v>20.89</v>
      </c>
      <c r="I671" s="15" t="n">
        <v>20.43</v>
      </c>
      <c r="J671" s="16" t="n">
        <f aca="false">G671*H671</f>
        <v>12534</v>
      </c>
      <c r="K671" s="16" t="n">
        <f aca="false">(H671-I671)*G671</f>
        <v>276.000000000001</v>
      </c>
      <c r="L671" s="17" t="n">
        <f aca="false">IF(I671=0,0,H671/I671-1)</f>
        <v>0.0225159079784631</v>
      </c>
      <c r="M671" s="14" t="n">
        <v>1</v>
      </c>
      <c r="N671" s="18" t="n">
        <v>0.011</v>
      </c>
    </row>
    <row r="672" customFormat="false" ht="15" hidden="false" customHeight="false" outlineLevel="0" collapsed="false">
      <c r="A672" s="12" t="s">
        <v>731</v>
      </c>
      <c r="B672" s="13" t="n">
        <v>45863</v>
      </c>
      <c r="C672" s="12" t="str">
        <f aca="false">TEXT(B672,"yyyy-mm")</f>
        <v>2025-07</v>
      </c>
      <c r="D672" s="12" t="s">
        <v>39</v>
      </c>
      <c r="E672" s="12" t="s">
        <v>40</v>
      </c>
      <c r="F672" s="12" t="s">
        <v>41</v>
      </c>
      <c r="G672" s="14" t="n">
        <v>1200</v>
      </c>
      <c r="H672" s="15" t="n">
        <v>20.42</v>
      </c>
      <c r="I672" s="15" t="n">
        <v>19.94</v>
      </c>
      <c r="J672" s="16" t="n">
        <f aca="false">G672*H672</f>
        <v>24504</v>
      </c>
      <c r="K672" s="16" t="n">
        <f aca="false">(H672-I672)*G672</f>
        <v>576.000000000001</v>
      </c>
      <c r="L672" s="17" t="n">
        <f aca="false">IF(I672=0,0,H672/I672-1)</f>
        <v>0.0240722166499499</v>
      </c>
      <c r="M672" s="14" t="n">
        <v>1</v>
      </c>
      <c r="N672" s="18" t="n">
        <v>0.008</v>
      </c>
    </row>
    <row r="673" customFormat="false" ht="15" hidden="false" customHeight="false" outlineLevel="0" collapsed="false">
      <c r="A673" s="12" t="s">
        <v>732</v>
      </c>
      <c r="B673" s="13" t="n">
        <v>45863</v>
      </c>
      <c r="C673" s="12" t="str">
        <f aca="false">TEXT(B673,"yyyy-mm")</f>
        <v>2025-07</v>
      </c>
      <c r="D673" s="12" t="s">
        <v>35</v>
      </c>
      <c r="E673" s="12" t="s">
        <v>43</v>
      </c>
      <c r="F673" s="12" t="s">
        <v>44</v>
      </c>
      <c r="G673" s="14" t="n">
        <v>400</v>
      </c>
      <c r="H673" s="15" t="n">
        <v>17.45</v>
      </c>
      <c r="I673" s="15" t="n">
        <v>17.35</v>
      </c>
      <c r="J673" s="16" t="n">
        <f aca="false">G673*H673</f>
        <v>6980</v>
      </c>
      <c r="K673" s="16" t="n">
        <f aca="false">(H673-I673)*G673</f>
        <v>39.9999999999992</v>
      </c>
      <c r="L673" s="17" t="n">
        <f aca="false">IF(I673=0,0,H673/I673-1)</f>
        <v>0.0057636887608068</v>
      </c>
      <c r="M673" s="14" t="n">
        <v>1</v>
      </c>
      <c r="N673" s="18" t="n">
        <v>0.017</v>
      </c>
    </row>
    <row r="674" customFormat="false" ht="15" hidden="false" customHeight="false" outlineLevel="0" collapsed="false">
      <c r="A674" s="12" t="s">
        <v>733</v>
      </c>
      <c r="B674" s="13" t="n">
        <v>45863</v>
      </c>
      <c r="C674" s="12" t="str">
        <f aca="false">TEXT(B674,"yyyy-mm")</f>
        <v>2025-07</v>
      </c>
      <c r="D674" s="12" t="s">
        <v>39</v>
      </c>
      <c r="E674" s="12" t="s">
        <v>46</v>
      </c>
      <c r="F674" s="12" t="s">
        <v>47</v>
      </c>
      <c r="G674" s="14" t="n">
        <v>1000</v>
      </c>
      <c r="H674" s="15" t="n">
        <v>21.81</v>
      </c>
      <c r="I674" s="15" t="n">
        <v>20.07</v>
      </c>
      <c r="J674" s="16" t="n">
        <f aca="false">G674*H674</f>
        <v>21810</v>
      </c>
      <c r="K674" s="16" t="n">
        <f aca="false">(H674-I674)*G674</f>
        <v>1740</v>
      </c>
      <c r="L674" s="17" t="n">
        <f aca="false">IF(I674=0,0,H674/I674-1)</f>
        <v>0.0866965620328848</v>
      </c>
      <c r="M674" s="14" t="n">
        <v>1</v>
      </c>
      <c r="N674" s="18" t="n">
        <v>0.011</v>
      </c>
    </row>
    <row r="675" customFormat="false" ht="15" hidden="false" customHeight="false" outlineLevel="0" collapsed="false">
      <c r="A675" s="12" t="s">
        <v>734</v>
      </c>
      <c r="B675" s="13" t="n">
        <v>45863</v>
      </c>
      <c r="C675" s="12" t="str">
        <f aca="false">TEXT(B675,"yyyy-mm")</f>
        <v>2025-07</v>
      </c>
      <c r="D675" s="12" t="s">
        <v>111</v>
      </c>
      <c r="E675" s="12" t="s">
        <v>76</v>
      </c>
      <c r="F675" s="12" t="s">
        <v>77</v>
      </c>
      <c r="G675" s="14" t="n">
        <v>1000</v>
      </c>
      <c r="H675" s="15" t="n">
        <v>21.61</v>
      </c>
      <c r="I675" s="15" t="n">
        <v>22.23</v>
      </c>
      <c r="J675" s="16" t="n">
        <f aca="false">G675*H675</f>
        <v>21610</v>
      </c>
      <c r="K675" s="16" t="n">
        <f aca="false">(H675-I675)*G675</f>
        <v>-620.000000000001</v>
      </c>
      <c r="L675" s="17" t="n">
        <f aca="false">IF(I675=0,0,H675/I675-1)</f>
        <v>-0.0278902384165542</v>
      </c>
      <c r="M675" s="14" t="n">
        <v>1</v>
      </c>
      <c r="N675" s="18" t="n">
        <v>0.012</v>
      </c>
    </row>
    <row r="676" customFormat="false" ht="15" hidden="false" customHeight="false" outlineLevel="0" collapsed="false">
      <c r="A676" s="12" t="s">
        <v>735</v>
      </c>
      <c r="B676" s="13" t="n">
        <v>45863</v>
      </c>
      <c r="C676" s="12" t="str">
        <f aca="false">TEXT(B676,"yyyy-mm")</f>
        <v>2025-07</v>
      </c>
      <c r="D676" s="12" t="s">
        <v>111</v>
      </c>
      <c r="E676" s="12" t="s">
        <v>76</v>
      </c>
      <c r="F676" s="12" t="s">
        <v>77</v>
      </c>
      <c r="G676" s="14" t="n">
        <v>1600</v>
      </c>
      <c r="H676" s="15" t="n">
        <v>21.3</v>
      </c>
      <c r="I676" s="15" t="n">
        <v>21.42</v>
      </c>
      <c r="J676" s="16" t="n">
        <f aca="false">G676*H676</f>
        <v>34080</v>
      </c>
      <c r="K676" s="16" t="n">
        <f aca="false">(H676-I676)*G676</f>
        <v>-192.000000000002</v>
      </c>
      <c r="L676" s="17" t="n">
        <f aca="false">IF(I676=0,0,H676/I676-1)</f>
        <v>-0.00560224089635863</v>
      </c>
      <c r="M676" s="14" t="n">
        <v>1</v>
      </c>
      <c r="N676" s="18" t="n">
        <v>0.015</v>
      </c>
    </row>
    <row r="677" customFormat="false" ht="15" hidden="false" customHeight="false" outlineLevel="0" collapsed="false">
      <c r="A677" s="12" t="s">
        <v>736</v>
      </c>
      <c r="B677" s="13" t="n">
        <v>45863</v>
      </c>
      <c r="C677" s="12" t="str">
        <f aca="false">TEXT(B677,"yyyy-mm")</f>
        <v>2025-07</v>
      </c>
      <c r="D677" s="12" t="s">
        <v>61</v>
      </c>
      <c r="E677" s="12" t="s">
        <v>43</v>
      </c>
      <c r="F677" s="12" t="s">
        <v>44</v>
      </c>
      <c r="G677" s="14" t="n">
        <v>400</v>
      </c>
      <c r="H677" s="15" t="n">
        <v>15.58</v>
      </c>
      <c r="I677" s="15" t="n">
        <v>15.41</v>
      </c>
      <c r="J677" s="16" t="n">
        <f aca="false">G677*H677</f>
        <v>6232</v>
      </c>
      <c r="K677" s="16" t="n">
        <f aca="false">(H677-I677)*G677</f>
        <v>68</v>
      </c>
      <c r="L677" s="17" t="n">
        <f aca="false">IF(I677=0,0,H677/I677-1)</f>
        <v>0.0110317975340688</v>
      </c>
      <c r="M677" s="14" t="n">
        <v>1</v>
      </c>
      <c r="N677" s="18" t="n">
        <v>0.018</v>
      </c>
    </row>
    <row r="678" customFormat="false" ht="15" hidden="false" customHeight="false" outlineLevel="0" collapsed="false">
      <c r="A678" s="12" t="s">
        <v>737</v>
      </c>
      <c r="B678" s="13" t="n">
        <v>45864</v>
      </c>
      <c r="C678" s="12" t="str">
        <f aca="false">TEXT(B678,"yyyy-mm")</f>
        <v>2025-07</v>
      </c>
      <c r="D678" s="12" t="s">
        <v>111</v>
      </c>
      <c r="E678" s="12" t="s">
        <v>76</v>
      </c>
      <c r="F678" s="12" t="s">
        <v>77</v>
      </c>
      <c r="G678" s="14" t="n">
        <v>800</v>
      </c>
      <c r="H678" s="15" t="n">
        <v>22.83</v>
      </c>
      <c r="I678" s="15" t="n">
        <v>22.17</v>
      </c>
      <c r="J678" s="16" t="n">
        <f aca="false">G678*H678</f>
        <v>18264</v>
      </c>
      <c r="K678" s="16" t="n">
        <f aca="false">(H678-I678)*G678</f>
        <v>527.999999999997</v>
      </c>
      <c r="L678" s="17" t="n">
        <f aca="false">IF(I678=0,0,H678/I678-1)</f>
        <v>0.0297699594046006</v>
      </c>
      <c r="M678" s="14" t="n">
        <v>1</v>
      </c>
      <c r="N678" s="18" t="n">
        <v>0.025</v>
      </c>
    </row>
    <row r="679" customFormat="false" ht="15" hidden="false" customHeight="false" outlineLevel="0" collapsed="false">
      <c r="A679" s="12" t="s">
        <v>738</v>
      </c>
      <c r="B679" s="13" t="n">
        <v>45864</v>
      </c>
      <c r="C679" s="12" t="str">
        <f aca="false">TEXT(B679,"yyyy-mm")</f>
        <v>2025-07</v>
      </c>
      <c r="D679" s="12" t="s">
        <v>39</v>
      </c>
      <c r="E679" s="12" t="s">
        <v>46</v>
      </c>
      <c r="F679" s="12" t="s">
        <v>47</v>
      </c>
      <c r="G679" s="14" t="n">
        <v>1200</v>
      </c>
      <c r="H679" s="15" t="n">
        <v>20.96</v>
      </c>
      <c r="I679" s="15" t="n">
        <v>19.54</v>
      </c>
      <c r="J679" s="16" t="n">
        <f aca="false">G679*H679</f>
        <v>25152</v>
      </c>
      <c r="K679" s="16" t="n">
        <f aca="false">(H679-I679)*G679</f>
        <v>1704</v>
      </c>
      <c r="L679" s="17" t="n">
        <f aca="false">IF(I679=0,0,H679/I679-1)</f>
        <v>0.0726714431934494</v>
      </c>
      <c r="M679" s="14" t="n">
        <v>1</v>
      </c>
      <c r="N679" s="18" t="n">
        <v>0.008</v>
      </c>
    </row>
    <row r="680" customFormat="false" ht="15" hidden="false" customHeight="false" outlineLevel="0" collapsed="false">
      <c r="A680" s="12" t="s">
        <v>739</v>
      </c>
      <c r="B680" s="13" t="n">
        <v>45864</v>
      </c>
      <c r="C680" s="12" t="str">
        <f aca="false">TEXT(B680,"yyyy-mm")</f>
        <v>2025-07</v>
      </c>
      <c r="D680" s="12" t="s">
        <v>39</v>
      </c>
      <c r="E680" s="12" t="s">
        <v>46</v>
      </c>
      <c r="F680" s="12" t="s">
        <v>47</v>
      </c>
      <c r="G680" s="14" t="n">
        <v>1600</v>
      </c>
      <c r="H680" s="15" t="n">
        <v>21.18</v>
      </c>
      <c r="I680" s="15" t="n">
        <v>20.21</v>
      </c>
      <c r="J680" s="16" t="n">
        <f aca="false">G680*H680</f>
        <v>33888</v>
      </c>
      <c r="K680" s="16" t="n">
        <f aca="false">(H680-I680)*G680</f>
        <v>1552</v>
      </c>
      <c r="L680" s="17" t="n">
        <f aca="false">IF(I680=0,0,H680/I680-1)</f>
        <v>0.0479960415635823</v>
      </c>
      <c r="M680" s="14" t="n">
        <v>1</v>
      </c>
      <c r="N680" s="18" t="n">
        <v>0.009</v>
      </c>
    </row>
    <row r="681" customFormat="false" ht="15" hidden="false" customHeight="false" outlineLevel="0" collapsed="false">
      <c r="A681" s="12" t="s">
        <v>740</v>
      </c>
      <c r="B681" s="13" t="n">
        <v>45865</v>
      </c>
      <c r="C681" s="12" t="str">
        <f aca="false">TEXT(B681,"yyyy-mm")</f>
        <v>2025-07</v>
      </c>
      <c r="D681" s="12" t="s">
        <v>53</v>
      </c>
      <c r="E681" s="12" t="s">
        <v>54</v>
      </c>
      <c r="F681" s="12" t="s">
        <v>55</v>
      </c>
      <c r="G681" s="14" t="n">
        <v>600</v>
      </c>
      <c r="H681" s="15" t="n">
        <v>18.91</v>
      </c>
      <c r="I681" s="15" t="n">
        <v>17.85</v>
      </c>
      <c r="J681" s="16" t="n">
        <f aca="false">G681*H681</f>
        <v>11346</v>
      </c>
      <c r="K681" s="16" t="n">
        <f aca="false">(H681-I681)*G681</f>
        <v>635.999999999999</v>
      </c>
      <c r="L681" s="17" t="n">
        <f aca="false">IF(I681=0,0,H681/I681-1)</f>
        <v>0.0593837535014006</v>
      </c>
      <c r="M681" s="14" t="n">
        <v>1</v>
      </c>
      <c r="N681" s="18" t="n">
        <v>0.016</v>
      </c>
    </row>
    <row r="682" customFormat="false" ht="15" hidden="false" customHeight="false" outlineLevel="0" collapsed="false">
      <c r="A682" s="12" t="s">
        <v>741</v>
      </c>
      <c r="B682" s="13" t="n">
        <v>45865</v>
      </c>
      <c r="C682" s="12" t="str">
        <f aca="false">TEXT(B682,"yyyy-mm")</f>
        <v>2025-07</v>
      </c>
      <c r="D682" s="12" t="s">
        <v>61</v>
      </c>
      <c r="E682" s="12" t="s">
        <v>36</v>
      </c>
      <c r="F682" s="12" t="s">
        <v>37</v>
      </c>
      <c r="G682" s="14" t="n">
        <v>1600</v>
      </c>
      <c r="H682" s="15" t="n">
        <v>14.92</v>
      </c>
      <c r="I682" s="15" t="n">
        <v>15.21</v>
      </c>
      <c r="J682" s="16" t="n">
        <f aca="false">G682*H682</f>
        <v>23872</v>
      </c>
      <c r="K682" s="16" t="n">
        <f aca="false">(H682-I682)*G682</f>
        <v>-464.000000000002</v>
      </c>
      <c r="L682" s="17" t="n">
        <f aca="false">IF(I682=0,0,H682/I682-1)</f>
        <v>-0.0190664036817884</v>
      </c>
      <c r="M682" s="14" t="n">
        <v>1</v>
      </c>
      <c r="N682" s="18" t="n">
        <v>0.014</v>
      </c>
    </row>
    <row r="683" customFormat="false" ht="15" hidden="false" customHeight="false" outlineLevel="0" collapsed="false">
      <c r="A683" s="12" t="s">
        <v>742</v>
      </c>
      <c r="B683" s="13" t="n">
        <v>45865</v>
      </c>
      <c r="C683" s="12" t="str">
        <f aca="false">TEXT(B683,"yyyy-mm")</f>
        <v>2025-07</v>
      </c>
      <c r="D683" s="12" t="s">
        <v>35</v>
      </c>
      <c r="E683" s="12" t="s">
        <v>43</v>
      </c>
      <c r="F683" s="12" t="s">
        <v>44</v>
      </c>
      <c r="G683" s="14" t="n">
        <v>1600</v>
      </c>
      <c r="H683" s="15" t="n">
        <v>18.15</v>
      </c>
      <c r="I683" s="15" t="n">
        <v>17.48</v>
      </c>
      <c r="J683" s="16" t="n">
        <f aca="false">G683*H683</f>
        <v>29040</v>
      </c>
      <c r="K683" s="16" t="n">
        <f aca="false">(H683-I683)*G683</f>
        <v>1072</v>
      </c>
      <c r="L683" s="17" t="n">
        <f aca="false">IF(I683=0,0,H683/I683-1)</f>
        <v>0.0383295194508009</v>
      </c>
      <c r="M683" s="14" t="n">
        <v>1</v>
      </c>
      <c r="N683" s="18" t="n">
        <v>0.017</v>
      </c>
    </row>
    <row r="684" customFormat="false" ht="15" hidden="false" customHeight="false" outlineLevel="0" collapsed="false">
      <c r="A684" s="12" t="s">
        <v>743</v>
      </c>
      <c r="B684" s="13" t="n">
        <v>45865</v>
      </c>
      <c r="C684" s="12" t="str">
        <f aca="false">TEXT(B684,"yyyy-mm")</f>
        <v>2025-07</v>
      </c>
      <c r="D684" s="12" t="s">
        <v>39</v>
      </c>
      <c r="E684" s="12" t="s">
        <v>46</v>
      </c>
      <c r="F684" s="12" t="s">
        <v>47</v>
      </c>
      <c r="G684" s="14" t="n">
        <v>800</v>
      </c>
      <c r="H684" s="15" t="n">
        <v>20.05</v>
      </c>
      <c r="I684" s="15" t="n">
        <v>19.46</v>
      </c>
      <c r="J684" s="16" t="n">
        <f aca="false">G684*H684</f>
        <v>16040</v>
      </c>
      <c r="K684" s="16" t="n">
        <f aca="false">(H684-I684)*G684</f>
        <v>472</v>
      </c>
      <c r="L684" s="17" t="n">
        <f aca="false">IF(I684=0,0,H684/I684-1)</f>
        <v>0.0303186022610482</v>
      </c>
      <c r="M684" s="14" t="n">
        <v>0</v>
      </c>
      <c r="N684" s="18" t="n">
        <v>0.003</v>
      </c>
    </row>
    <row r="685" customFormat="false" ht="15" hidden="false" customHeight="false" outlineLevel="0" collapsed="false">
      <c r="A685" s="12" t="s">
        <v>744</v>
      </c>
      <c r="B685" s="13" t="n">
        <v>45865</v>
      </c>
      <c r="C685" s="12" t="str">
        <f aca="false">TEXT(B685,"yyyy-mm")</f>
        <v>2025-07</v>
      </c>
      <c r="D685" s="12" t="s">
        <v>58</v>
      </c>
      <c r="E685" s="12" t="s">
        <v>59</v>
      </c>
      <c r="F685" s="12" t="s">
        <v>55</v>
      </c>
      <c r="G685" s="14" t="n">
        <v>200</v>
      </c>
      <c r="H685" s="15" t="n">
        <v>38.81</v>
      </c>
      <c r="I685" s="15" t="n">
        <v>36.76</v>
      </c>
      <c r="J685" s="16" t="n">
        <f aca="false">G685*H685</f>
        <v>7762</v>
      </c>
      <c r="K685" s="16" t="n">
        <f aca="false">(H685-I685)*G685</f>
        <v>410.000000000001</v>
      </c>
      <c r="L685" s="17" t="n">
        <f aca="false">IF(I685=0,0,H685/I685-1)</f>
        <v>0.0557671381936888</v>
      </c>
      <c r="M685" s="14" t="n">
        <v>1</v>
      </c>
      <c r="N685" s="18" t="n">
        <v>0.015</v>
      </c>
    </row>
    <row r="686" customFormat="false" ht="15" hidden="false" customHeight="false" outlineLevel="0" collapsed="false">
      <c r="A686" s="12" t="s">
        <v>745</v>
      </c>
      <c r="B686" s="13" t="n">
        <v>45865</v>
      </c>
      <c r="C686" s="12" t="str">
        <f aca="false">TEXT(B686,"yyyy-mm")</f>
        <v>2025-07</v>
      </c>
      <c r="D686" s="12" t="s">
        <v>61</v>
      </c>
      <c r="E686" s="12" t="s">
        <v>43</v>
      </c>
      <c r="F686" s="12" t="s">
        <v>44</v>
      </c>
      <c r="G686" s="14" t="n">
        <v>1000</v>
      </c>
      <c r="H686" s="15" t="n">
        <v>15.62</v>
      </c>
      <c r="I686" s="15" t="n">
        <v>15.02</v>
      </c>
      <c r="J686" s="16" t="n">
        <f aca="false">G686*H686</f>
        <v>15620</v>
      </c>
      <c r="K686" s="16" t="n">
        <f aca="false">(H686-I686)*G686</f>
        <v>600</v>
      </c>
      <c r="L686" s="17" t="n">
        <f aca="false">IF(I686=0,0,H686/I686-1)</f>
        <v>0.0399467376830891</v>
      </c>
      <c r="M686" s="14" t="n">
        <v>1</v>
      </c>
      <c r="N686" s="18" t="n">
        <v>0.017</v>
      </c>
    </row>
    <row r="687" customFormat="false" ht="15" hidden="false" customHeight="false" outlineLevel="0" collapsed="false">
      <c r="A687" s="12" t="s">
        <v>746</v>
      </c>
      <c r="B687" s="13" t="n">
        <v>45865</v>
      </c>
      <c r="C687" s="12" t="str">
        <f aca="false">TEXT(B687,"yyyy-mm")</f>
        <v>2025-07</v>
      </c>
      <c r="D687" s="12" t="s">
        <v>35</v>
      </c>
      <c r="E687" s="12" t="s">
        <v>43</v>
      </c>
      <c r="F687" s="12" t="s">
        <v>44</v>
      </c>
      <c r="G687" s="14" t="n">
        <v>3200</v>
      </c>
      <c r="H687" s="15" t="n">
        <v>17.84</v>
      </c>
      <c r="I687" s="15" t="n">
        <v>17.24</v>
      </c>
      <c r="J687" s="16" t="n">
        <f aca="false">G687*H687</f>
        <v>57088</v>
      </c>
      <c r="K687" s="16" t="n">
        <f aca="false">(H687-I687)*G687</f>
        <v>1920</v>
      </c>
      <c r="L687" s="17" t="n">
        <f aca="false">IF(I687=0,0,H687/I687-1)</f>
        <v>0.0348027842227379</v>
      </c>
      <c r="M687" s="14" t="n">
        <v>1</v>
      </c>
      <c r="N687" s="18" t="n">
        <v>0.012</v>
      </c>
    </row>
    <row r="688" customFormat="false" ht="15" hidden="false" customHeight="false" outlineLevel="0" collapsed="false">
      <c r="A688" s="12" t="s">
        <v>747</v>
      </c>
      <c r="B688" s="13" t="n">
        <v>45866</v>
      </c>
      <c r="C688" s="12" t="str">
        <f aca="false">TEXT(B688,"yyyy-mm")</f>
        <v>2025-07</v>
      </c>
      <c r="D688" s="12" t="s">
        <v>39</v>
      </c>
      <c r="E688" s="12" t="s">
        <v>46</v>
      </c>
      <c r="F688" s="12" t="s">
        <v>47</v>
      </c>
      <c r="G688" s="14" t="n">
        <v>1000</v>
      </c>
      <c r="H688" s="15" t="n">
        <v>21.19</v>
      </c>
      <c r="I688" s="15" t="n">
        <v>19.93</v>
      </c>
      <c r="J688" s="16" t="n">
        <f aca="false">G688*H688</f>
        <v>21190</v>
      </c>
      <c r="K688" s="16" t="n">
        <f aca="false">(H688-I688)*G688</f>
        <v>1260</v>
      </c>
      <c r="L688" s="17" t="n">
        <f aca="false">IF(I688=0,0,H688/I688-1)</f>
        <v>0.0632212744606122</v>
      </c>
      <c r="M688" s="14" t="n">
        <v>1</v>
      </c>
      <c r="N688" s="18" t="n">
        <v>0.003</v>
      </c>
    </row>
    <row r="689" customFormat="false" ht="15" hidden="false" customHeight="false" outlineLevel="0" collapsed="false">
      <c r="A689" s="12" t="s">
        <v>748</v>
      </c>
      <c r="B689" s="13" t="n">
        <v>45866</v>
      </c>
      <c r="C689" s="12" t="str">
        <f aca="false">TEXT(B689,"yyyy-mm")</f>
        <v>2025-07</v>
      </c>
      <c r="D689" s="12" t="s">
        <v>58</v>
      </c>
      <c r="E689" s="12" t="s">
        <v>40</v>
      </c>
      <c r="F689" s="12" t="s">
        <v>41</v>
      </c>
      <c r="G689" s="14" t="n">
        <v>400</v>
      </c>
      <c r="H689" s="15" t="n">
        <v>36.82</v>
      </c>
      <c r="I689" s="15" t="n">
        <v>36.44</v>
      </c>
      <c r="J689" s="16" t="n">
        <f aca="false">G689*H689</f>
        <v>14728</v>
      </c>
      <c r="K689" s="16" t="n">
        <f aca="false">(H689-I689)*G689</f>
        <v>152.000000000001</v>
      </c>
      <c r="L689" s="17" t="n">
        <f aca="false">IF(I689=0,0,H689/I689-1)</f>
        <v>0.0104281009879255</v>
      </c>
      <c r="M689" s="14" t="n">
        <v>1</v>
      </c>
      <c r="N689" s="18" t="n">
        <v>0.013</v>
      </c>
    </row>
    <row r="690" customFormat="false" ht="15" hidden="false" customHeight="false" outlineLevel="0" collapsed="false">
      <c r="A690" s="12" t="s">
        <v>749</v>
      </c>
      <c r="B690" s="13" t="n">
        <v>45867</v>
      </c>
      <c r="C690" s="12" t="str">
        <f aca="false">TEXT(B690,"yyyy-mm")</f>
        <v>2025-07</v>
      </c>
      <c r="D690" s="12" t="s">
        <v>61</v>
      </c>
      <c r="E690" s="12" t="s">
        <v>43</v>
      </c>
      <c r="F690" s="12" t="s">
        <v>44</v>
      </c>
      <c r="G690" s="14" t="n">
        <v>800</v>
      </c>
      <c r="H690" s="15" t="n">
        <v>15.84</v>
      </c>
      <c r="I690" s="15" t="n">
        <v>15.44</v>
      </c>
      <c r="J690" s="16" t="n">
        <f aca="false">G690*H690</f>
        <v>12672</v>
      </c>
      <c r="K690" s="16" t="n">
        <f aca="false">(H690-I690)*G690</f>
        <v>320</v>
      </c>
      <c r="L690" s="17" t="n">
        <f aca="false">IF(I690=0,0,H690/I690-1)</f>
        <v>0.0259067357512954</v>
      </c>
      <c r="M690" s="14" t="n">
        <v>1</v>
      </c>
      <c r="N690" s="18" t="n">
        <v>0.008</v>
      </c>
    </row>
    <row r="691" customFormat="false" ht="15" hidden="false" customHeight="false" outlineLevel="0" collapsed="false">
      <c r="A691" s="12" t="s">
        <v>750</v>
      </c>
      <c r="B691" s="13" t="n">
        <v>45867</v>
      </c>
      <c r="C691" s="12" t="str">
        <f aca="false">TEXT(B691,"yyyy-mm")</f>
        <v>2025-07</v>
      </c>
      <c r="D691" s="12" t="s">
        <v>35</v>
      </c>
      <c r="E691" s="12" t="s">
        <v>36</v>
      </c>
      <c r="F691" s="12" t="s">
        <v>37</v>
      </c>
      <c r="G691" s="14" t="n">
        <v>3200</v>
      </c>
      <c r="H691" s="15" t="n">
        <v>16.67</v>
      </c>
      <c r="I691" s="15" t="n">
        <v>17.21</v>
      </c>
      <c r="J691" s="16" t="n">
        <f aca="false">G691*H691</f>
        <v>53344</v>
      </c>
      <c r="K691" s="16" t="n">
        <f aca="false">(H691-I691)*G691</f>
        <v>-1728</v>
      </c>
      <c r="L691" s="17" t="n">
        <f aca="false">IF(I691=0,0,H691/I691-1)</f>
        <v>-0.031377106333527</v>
      </c>
      <c r="M691" s="14" t="n">
        <v>1</v>
      </c>
      <c r="N691" s="18" t="n">
        <v>0.017</v>
      </c>
    </row>
    <row r="692" customFormat="false" ht="15" hidden="false" customHeight="false" outlineLevel="0" collapsed="false">
      <c r="A692" s="12" t="s">
        <v>751</v>
      </c>
      <c r="B692" s="13" t="n">
        <v>45868</v>
      </c>
      <c r="C692" s="12" t="str">
        <f aca="false">TEXT(B692,"yyyy-mm")</f>
        <v>2025-07</v>
      </c>
      <c r="D692" s="12" t="s">
        <v>80</v>
      </c>
      <c r="E692" s="12" t="s">
        <v>76</v>
      </c>
      <c r="F692" s="12" t="s">
        <v>77</v>
      </c>
      <c r="G692" s="14" t="n">
        <v>200</v>
      </c>
      <c r="H692" s="15" t="n">
        <v>24.95</v>
      </c>
      <c r="I692" s="15" t="n">
        <v>25.16</v>
      </c>
      <c r="J692" s="16" t="n">
        <f aca="false">G692*H692</f>
        <v>4990</v>
      </c>
      <c r="K692" s="16" t="n">
        <f aca="false">(H692-I692)*G692</f>
        <v>-42.0000000000002</v>
      </c>
      <c r="L692" s="17" t="n">
        <f aca="false">IF(I692=0,0,H692/I692-1)</f>
        <v>-0.00834658187599369</v>
      </c>
      <c r="M692" s="14" t="n">
        <v>1</v>
      </c>
      <c r="N692" s="18" t="n">
        <v>0.027</v>
      </c>
    </row>
    <row r="693" customFormat="false" ht="15" hidden="false" customHeight="false" outlineLevel="0" collapsed="false">
      <c r="A693" s="12" t="s">
        <v>752</v>
      </c>
      <c r="B693" s="13" t="n">
        <v>45868</v>
      </c>
      <c r="C693" s="12" t="str">
        <f aca="false">TEXT(B693,"yyyy-mm")</f>
        <v>2025-07</v>
      </c>
      <c r="D693" s="12" t="s">
        <v>61</v>
      </c>
      <c r="E693" s="12" t="s">
        <v>43</v>
      </c>
      <c r="F693" s="12" t="s">
        <v>44</v>
      </c>
      <c r="G693" s="14" t="n">
        <v>600</v>
      </c>
      <c r="H693" s="15" t="n">
        <v>15.36</v>
      </c>
      <c r="I693" s="15" t="n">
        <v>14.7</v>
      </c>
      <c r="J693" s="16" t="n">
        <f aca="false">G693*H693</f>
        <v>9216</v>
      </c>
      <c r="K693" s="16" t="n">
        <f aca="false">(H693-I693)*G693</f>
        <v>396</v>
      </c>
      <c r="L693" s="17" t="n">
        <f aca="false">IF(I693=0,0,H693/I693-1)</f>
        <v>0.0448979591836736</v>
      </c>
      <c r="M693" s="14" t="n">
        <v>1</v>
      </c>
      <c r="N693" s="18" t="n">
        <v>0.016</v>
      </c>
    </row>
    <row r="694" customFormat="false" ht="15" hidden="false" customHeight="false" outlineLevel="0" collapsed="false">
      <c r="A694" s="12" t="s">
        <v>753</v>
      </c>
      <c r="B694" s="13" t="n">
        <v>45868</v>
      </c>
      <c r="C694" s="12" t="str">
        <f aca="false">TEXT(B694,"yyyy-mm")</f>
        <v>2025-07</v>
      </c>
      <c r="D694" s="12" t="s">
        <v>61</v>
      </c>
      <c r="E694" s="12" t="s">
        <v>43</v>
      </c>
      <c r="F694" s="12" t="s">
        <v>44</v>
      </c>
      <c r="G694" s="14" t="n">
        <v>800</v>
      </c>
      <c r="H694" s="15" t="n">
        <v>15.15</v>
      </c>
      <c r="I694" s="15" t="n">
        <v>15.07</v>
      </c>
      <c r="J694" s="16" t="n">
        <f aca="false">G694*H694</f>
        <v>12120</v>
      </c>
      <c r="K694" s="16" t="n">
        <f aca="false">(H694-I694)*G694</f>
        <v>64.0000000000001</v>
      </c>
      <c r="L694" s="17" t="n">
        <f aca="false">IF(I694=0,0,H694/I694-1)</f>
        <v>0.00530856005308555</v>
      </c>
      <c r="M694" s="14" t="n">
        <v>0</v>
      </c>
      <c r="N694" s="18" t="n">
        <v>0.012</v>
      </c>
    </row>
    <row r="695" customFormat="false" ht="15" hidden="false" customHeight="false" outlineLevel="0" collapsed="false">
      <c r="A695" s="12" t="s">
        <v>754</v>
      </c>
      <c r="B695" s="13" t="n">
        <v>45868</v>
      </c>
      <c r="C695" s="12" t="str">
        <f aca="false">TEXT(B695,"yyyy-mm")</f>
        <v>2025-07</v>
      </c>
      <c r="D695" s="12" t="s">
        <v>39</v>
      </c>
      <c r="E695" s="12" t="s">
        <v>46</v>
      </c>
      <c r="F695" s="12" t="s">
        <v>47</v>
      </c>
      <c r="G695" s="14" t="n">
        <v>2000</v>
      </c>
      <c r="H695" s="15" t="n">
        <v>20.82</v>
      </c>
      <c r="I695" s="15" t="n">
        <v>20.03</v>
      </c>
      <c r="J695" s="16" t="n">
        <f aca="false">G695*H695</f>
        <v>41640</v>
      </c>
      <c r="K695" s="16" t="n">
        <f aca="false">(H695-I695)*G695</f>
        <v>1580</v>
      </c>
      <c r="L695" s="17" t="n">
        <f aca="false">IF(I695=0,0,H695/I695-1)</f>
        <v>0.0394408387418872</v>
      </c>
      <c r="M695" s="14" t="n">
        <v>1</v>
      </c>
      <c r="N695" s="18" t="n">
        <v>0.005</v>
      </c>
    </row>
    <row r="696" customFormat="false" ht="15" hidden="false" customHeight="false" outlineLevel="0" collapsed="false">
      <c r="A696" s="12" t="s">
        <v>755</v>
      </c>
      <c r="B696" s="13" t="n">
        <v>45868</v>
      </c>
      <c r="C696" s="12" t="str">
        <f aca="false">TEXT(B696,"yyyy-mm")</f>
        <v>2025-07</v>
      </c>
      <c r="D696" s="12" t="s">
        <v>58</v>
      </c>
      <c r="E696" s="12" t="s">
        <v>59</v>
      </c>
      <c r="F696" s="12" t="s">
        <v>55</v>
      </c>
      <c r="G696" s="14" t="n">
        <v>400</v>
      </c>
      <c r="H696" s="15" t="n">
        <v>40.89</v>
      </c>
      <c r="I696" s="15" t="n">
        <v>37.86</v>
      </c>
      <c r="J696" s="16" t="n">
        <f aca="false">G696*H696</f>
        <v>16356</v>
      </c>
      <c r="K696" s="16" t="n">
        <f aca="false">(H696-I696)*G696</f>
        <v>1212</v>
      </c>
      <c r="L696" s="17" t="n">
        <f aca="false">IF(I696=0,0,H696/I696-1)</f>
        <v>0.0800316957210776</v>
      </c>
      <c r="M696" s="14" t="n">
        <v>1</v>
      </c>
      <c r="N696" s="18" t="n">
        <v>0.018</v>
      </c>
    </row>
    <row r="697" customFormat="false" ht="15" hidden="false" customHeight="false" outlineLevel="0" collapsed="false">
      <c r="A697" s="12" t="s">
        <v>756</v>
      </c>
      <c r="B697" s="13" t="n">
        <v>45869</v>
      </c>
      <c r="C697" s="12" t="str">
        <f aca="false">TEXT(B697,"yyyy-mm")</f>
        <v>2025-07</v>
      </c>
      <c r="D697" s="12" t="s">
        <v>80</v>
      </c>
      <c r="E697" s="12" t="s">
        <v>81</v>
      </c>
      <c r="F697" s="12" t="s">
        <v>82</v>
      </c>
      <c r="G697" s="14" t="n">
        <v>400</v>
      </c>
      <c r="H697" s="15" t="n">
        <v>23.57</v>
      </c>
      <c r="I697" s="15" t="n">
        <v>24.15</v>
      </c>
      <c r="J697" s="16" t="n">
        <f aca="false">G697*H697</f>
        <v>9428</v>
      </c>
      <c r="K697" s="16" t="n">
        <f aca="false">(H697-I697)*G697</f>
        <v>-231.999999999999</v>
      </c>
      <c r="L697" s="17" t="n">
        <f aca="false">IF(I697=0,0,H697/I697-1)</f>
        <v>-0.0240165631469979</v>
      </c>
      <c r="M697" s="14" t="n">
        <v>1</v>
      </c>
      <c r="N697" s="18" t="n">
        <v>0.034</v>
      </c>
    </row>
    <row r="698" customFormat="false" ht="15" hidden="false" customHeight="false" outlineLevel="0" collapsed="false">
      <c r="A698" s="12" t="s">
        <v>757</v>
      </c>
      <c r="B698" s="13" t="n">
        <v>45869</v>
      </c>
      <c r="C698" s="12" t="str">
        <f aca="false">TEXT(B698,"yyyy-mm")</f>
        <v>2025-07</v>
      </c>
      <c r="D698" s="12" t="s">
        <v>53</v>
      </c>
      <c r="E698" s="12" t="s">
        <v>49</v>
      </c>
      <c r="F698" s="12" t="s">
        <v>50</v>
      </c>
      <c r="G698" s="14" t="n">
        <v>400</v>
      </c>
      <c r="H698" s="15" t="n">
        <v>16.9</v>
      </c>
      <c r="I698" s="15" t="n">
        <v>17.01</v>
      </c>
      <c r="J698" s="16" t="n">
        <f aca="false">G698*H698</f>
        <v>6760</v>
      </c>
      <c r="K698" s="16" t="n">
        <f aca="false">(H698-I698)*G698</f>
        <v>-44.0000000000012</v>
      </c>
      <c r="L698" s="17" t="n">
        <f aca="false">IF(I698=0,0,H698/I698-1)</f>
        <v>-0.00646678424456215</v>
      </c>
      <c r="M698" s="14" t="n">
        <v>1</v>
      </c>
      <c r="N698" s="18" t="n">
        <v>0.044</v>
      </c>
    </row>
    <row r="699" customFormat="false" ht="15" hidden="false" customHeight="false" outlineLevel="0" collapsed="false">
      <c r="A699" s="12" t="s">
        <v>758</v>
      </c>
      <c r="B699" s="13" t="n">
        <v>45869</v>
      </c>
      <c r="C699" s="12" t="str">
        <f aca="false">TEXT(B699,"yyyy-mm")</f>
        <v>2025-07</v>
      </c>
      <c r="D699" s="12" t="s">
        <v>35</v>
      </c>
      <c r="E699" s="12" t="s">
        <v>36</v>
      </c>
      <c r="F699" s="12" t="s">
        <v>37</v>
      </c>
      <c r="G699" s="14" t="n">
        <v>400</v>
      </c>
      <c r="H699" s="15" t="n">
        <v>16.29</v>
      </c>
      <c r="I699" s="15" t="n">
        <v>16.69</v>
      </c>
      <c r="J699" s="16" t="n">
        <f aca="false">G699*H699</f>
        <v>6516</v>
      </c>
      <c r="K699" s="16" t="n">
        <f aca="false">(H699-I699)*G699</f>
        <v>-160.000000000001</v>
      </c>
      <c r="L699" s="17" t="n">
        <f aca="false">IF(I699=0,0,H699/I699-1)</f>
        <v>-0.0239664469742362</v>
      </c>
      <c r="M699" s="14" t="n">
        <v>1</v>
      </c>
      <c r="N699" s="18" t="n">
        <v>0.022</v>
      </c>
    </row>
    <row r="700" customFormat="false" ht="15" hidden="false" customHeight="false" outlineLevel="0" collapsed="false">
      <c r="A700" s="12" t="s">
        <v>759</v>
      </c>
      <c r="B700" s="13" t="n">
        <v>45869</v>
      </c>
      <c r="C700" s="12" t="str">
        <f aca="false">TEXT(B700,"yyyy-mm")</f>
        <v>2025-07</v>
      </c>
      <c r="D700" s="12" t="s">
        <v>58</v>
      </c>
      <c r="E700" s="12" t="s">
        <v>76</v>
      </c>
      <c r="F700" s="12" t="s">
        <v>77</v>
      </c>
      <c r="G700" s="14" t="n">
        <v>600</v>
      </c>
      <c r="H700" s="15" t="n">
        <v>38.08</v>
      </c>
      <c r="I700" s="15" t="n">
        <v>37.71</v>
      </c>
      <c r="J700" s="16" t="n">
        <f aca="false">G700*H700</f>
        <v>22848</v>
      </c>
      <c r="K700" s="16" t="n">
        <f aca="false">(H700-I700)*G700</f>
        <v>221.999999999998</v>
      </c>
      <c r="L700" s="17" t="n">
        <f aca="false">IF(I700=0,0,H700/I700-1)</f>
        <v>0.00981172102890482</v>
      </c>
      <c r="M700" s="14" t="n">
        <v>1</v>
      </c>
      <c r="N700" s="18" t="n">
        <v>0.022</v>
      </c>
    </row>
    <row r="701" customFormat="false" ht="15" hidden="false" customHeight="false" outlineLevel="0" collapsed="false">
      <c r="A701" s="12" t="s">
        <v>760</v>
      </c>
      <c r="B701" s="13" t="n">
        <v>45869</v>
      </c>
      <c r="C701" s="12" t="str">
        <f aca="false">TEXT(B701,"yyyy-mm")</f>
        <v>2025-07</v>
      </c>
      <c r="D701" s="12" t="s">
        <v>75</v>
      </c>
      <c r="E701" s="12" t="s">
        <v>76</v>
      </c>
      <c r="F701" s="12" t="s">
        <v>77</v>
      </c>
      <c r="G701" s="14" t="n">
        <v>600</v>
      </c>
      <c r="H701" s="15" t="n">
        <v>28.15</v>
      </c>
      <c r="I701" s="15" t="n">
        <v>28.78</v>
      </c>
      <c r="J701" s="16" t="n">
        <f aca="false">G701*H701</f>
        <v>16890</v>
      </c>
      <c r="K701" s="16" t="n">
        <f aca="false">(H701-I701)*G701</f>
        <v>-378.000000000002</v>
      </c>
      <c r="L701" s="17" t="n">
        <f aca="false">IF(I701=0,0,H701/I701-1)</f>
        <v>-0.0218902015288396</v>
      </c>
      <c r="M701" s="14" t="n">
        <v>1</v>
      </c>
      <c r="N701" s="18" t="n">
        <v>0.021</v>
      </c>
    </row>
    <row r="702" customFormat="false" ht="15" hidden="false" customHeight="false" outlineLevel="0" collapsed="false">
      <c r="A702" s="12" t="s">
        <v>761</v>
      </c>
      <c r="B702" s="13" t="n">
        <v>45870</v>
      </c>
      <c r="C702" s="12" t="str">
        <f aca="false">TEXT(B702,"yyyy-mm")</f>
        <v>2025-08</v>
      </c>
      <c r="D702" s="12" t="s">
        <v>35</v>
      </c>
      <c r="E702" s="12" t="s">
        <v>43</v>
      </c>
      <c r="F702" s="12" t="s">
        <v>44</v>
      </c>
      <c r="G702" s="14" t="n">
        <v>3200</v>
      </c>
      <c r="H702" s="15" t="n">
        <v>16.44</v>
      </c>
      <c r="I702" s="15" t="n">
        <v>16.38</v>
      </c>
      <c r="J702" s="16" t="n">
        <f aca="false">G702*H702</f>
        <v>52608</v>
      </c>
      <c r="K702" s="16" t="n">
        <f aca="false">(H702-I702)*G702</f>
        <v>192.000000000007</v>
      </c>
      <c r="L702" s="17" t="n">
        <f aca="false">IF(I702=0,0,H702/I702-1)</f>
        <v>0.00366300366300387</v>
      </c>
      <c r="M702" s="14" t="n">
        <v>1</v>
      </c>
      <c r="N702" s="18" t="n">
        <v>0.006</v>
      </c>
    </row>
    <row r="703" customFormat="false" ht="15" hidden="false" customHeight="false" outlineLevel="0" collapsed="false">
      <c r="A703" s="12" t="s">
        <v>762</v>
      </c>
      <c r="B703" s="13" t="n">
        <v>45870</v>
      </c>
      <c r="C703" s="12" t="str">
        <f aca="false">TEXT(B703,"yyyy-mm")</f>
        <v>2025-08</v>
      </c>
      <c r="D703" s="12" t="s">
        <v>53</v>
      </c>
      <c r="E703" s="12" t="s">
        <v>54</v>
      </c>
      <c r="F703" s="12" t="s">
        <v>55</v>
      </c>
      <c r="G703" s="14" t="n">
        <v>1200</v>
      </c>
      <c r="H703" s="15" t="n">
        <v>16.87</v>
      </c>
      <c r="I703" s="15" t="n">
        <v>16.63</v>
      </c>
      <c r="J703" s="16" t="n">
        <f aca="false">G703*H703</f>
        <v>20244</v>
      </c>
      <c r="K703" s="16" t="n">
        <f aca="false">(H703-I703)*G703</f>
        <v>288.000000000002</v>
      </c>
      <c r="L703" s="17" t="n">
        <f aca="false">IF(I703=0,0,H703/I703-1)</f>
        <v>0.0144317498496693</v>
      </c>
      <c r="M703" s="14" t="n">
        <v>1</v>
      </c>
      <c r="N703" s="18" t="n">
        <v>0.007</v>
      </c>
    </row>
    <row r="704" customFormat="false" ht="15" hidden="false" customHeight="false" outlineLevel="0" collapsed="false">
      <c r="A704" s="12" t="s">
        <v>763</v>
      </c>
      <c r="B704" s="13" t="n">
        <v>45870</v>
      </c>
      <c r="C704" s="12" t="str">
        <f aca="false">TEXT(B704,"yyyy-mm")</f>
        <v>2025-08</v>
      </c>
      <c r="D704" s="12" t="s">
        <v>80</v>
      </c>
      <c r="E704" s="12" t="s">
        <v>81</v>
      </c>
      <c r="F704" s="12" t="s">
        <v>82</v>
      </c>
      <c r="G704" s="14" t="n">
        <v>1600</v>
      </c>
      <c r="H704" s="15" t="n">
        <v>23.12</v>
      </c>
      <c r="I704" s="15" t="n">
        <v>24.24</v>
      </c>
      <c r="J704" s="16" t="n">
        <f aca="false">G704*H704</f>
        <v>36992</v>
      </c>
      <c r="K704" s="16" t="n">
        <f aca="false">(H704-I704)*G704</f>
        <v>-1792</v>
      </c>
      <c r="L704" s="17" t="n">
        <f aca="false">IF(I704=0,0,H704/I704-1)</f>
        <v>-0.0462046204620461</v>
      </c>
      <c r="M704" s="14" t="n">
        <v>1</v>
      </c>
      <c r="N704" s="18" t="n">
        <v>0.038</v>
      </c>
    </row>
    <row r="705" customFormat="false" ht="15" hidden="false" customHeight="false" outlineLevel="0" collapsed="false">
      <c r="A705" s="12" t="s">
        <v>764</v>
      </c>
      <c r="B705" s="13" t="n">
        <v>45871</v>
      </c>
      <c r="C705" s="12" t="str">
        <f aca="false">TEXT(B705,"yyyy-mm")</f>
        <v>2025-08</v>
      </c>
      <c r="D705" s="12" t="s">
        <v>35</v>
      </c>
      <c r="E705" s="12" t="s">
        <v>43</v>
      </c>
      <c r="F705" s="12" t="s">
        <v>44</v>
      </c>
      <c r="G705" s="14" t="n">
        <v>1600</v>
      </c>
      <c r="H705" s="15" t="n">
        <v>17.86</v>
      </c>
      <c r="I705" s="15" t="n">
        <v>16.8</v>
      </c>
      <c r="J705" s="16" t="n">
        <f aca="false">G705*H705</f>
        <v>28576</v>
      </c>
      <c r="K705" s="16" t="n">
        <f aca="false">(H705-I705)*G705</f>
        <v>1696</v>
      </c>
      <c r="L705" s="17" t="n">
        <f aca="false">IF(I705=0,0,H705/I705-1)</f>
        <v>0.0630952380952381</v>
      </c>
      <c r="M705" s="14" t="n">
        <v>1</v>
      </c>
      <c r="N705" s="18" t="n">
        <v>0.013</v>
      </c>
    </row>
    <row r="706" customFormat="false" ht="15" hidden="false" customHeight="false" outlineLevel="0" collapsed="false">
      <c r="A706" s="12" t="s">
        <v>765</v>
      </c>
      <c r="B706" s="13" t="n">
        <v>45871</v>
      </c>
      <c r="C706" s="12" t="str">
        <f aca="false">TEXT(B706,"yyyy-mm")</f>
        <v>2025-08</v>
      </c>
      <c r="D706" s="12" t="s">
        <v>35</v>
      </c>
      <c r="E706" s="12" t="s">
        <v>43</v>
      </c>
      <c r="F706" s="12" t="s">
        <v>44</v>
      </c>
      <c r="G706" s="14" t="n">
        <v>2400</v>
      </c>
      <c r="H706" s="15" t="n">
        <v>16.88</v>
      </c>
      <c r="I706" s="15" t="n">
        <v>16.54</v>
      </c>
      <c r="J706" s="16" t="n">
        <f aca="false">G706*H706</f>
        <v>40512</v>
      </c>
      <c r="K706" s="16" t="n">
        <f aca="false">(H706-I706)*G706</f>
        <v>816</v>
      </c>
      <c r="L706" s="17" t="n">
        <f aca="false">IF(I706=0,0,H706/I706-1)</f>
        <v>0.0205562273276905</v>
      </c>
      <c r="M706" s="14" t="n">
        <v>1</v>
      </c>
      <c r="N706" s="18" t="n">
        <v>0.013</v>
      </c>
    </row>
    <row r="707" customFormat="false" ht="15" hidden="false" customHeight="false" outlineLevel="0" collapsed="false">
      <c r="A707" s="12" t="s">
        <v>766</v>
      </c>
      <c r="B707" s="13" t="n">
        <v>45871</v>
      </c>
      <c r="C707" s="12" t="str">
        <f aca="false">TEXT(B707,"yyyy-mm")</f>
        <v>2025-08</v>
      </c>
      <c r="D707" s="12" t="s">
        <v>35</v>
      </c>
      <c r="E707" s="12" t="s">
        <v>43</v>
      </c>
      <c r="F707" s="12" t="s">
        <v>44</v>
      </c>
      <c r="G707" s="14" t="n">
        <v>2000</v>
      </c>
      <c r="H707" s="15" t="n">
        <v>17.12</v>
      </c>
      <c r="I707" s="15" t="n">
        <v>16.41</v>
      </c>
      <c r="J707" s="16" t="n">
        <f aca="false">G707*H707</f>
        <v>34240</v>
      </c>
      <c r="K707" s="16" t="n">
        <f aca="false">(H707-I707)*G707</f>
        <v>1420</v>
      </c>
      <c r="L707" s="17" t="n">
        <f aca="false">IF(I707=0,0,H707/I707-1)</f>
        <v>0.0432663010359538</v>
      </c>
      <c r="M707" s="14" t="n">
        <v>1</v>
      </c>
      <c r="N707" s="18" t="n">
        <v>0.015</v>
      </c>
    </row>
    <row r="708" customFormat="false" ht="15" hidden="false" customHeight="false" outlineLevel="0" collapsed="false">
      <c r="A708" s="12" t="s">
        <v>767</v>
      </c>
      <c r="B708" s="13" t="n">
        <v>45872</v>
      </c>
      <c r="C708" s="12" t="str">
        <f aca="false">TEXT(B708,"yyyy-mm")</f>
        <v>2025-08</v>
      </c>
      <c r="D708" s="12" t="s">
        <v>53</v>
      </c>
      <c r="E708" s="12" t="s">
        <v>54</v>
      </c>
      <c r="F708" s="12" t="s">
        <v>55</v>
      </c>
      <c r="G708" s="14" t="n">
        <v>600</v>
      </c>
      <c r="H708" s="15" t="n">
        <v>16.59</v>
      </c>
      <c r="I708" s="15" t="n">
        <v>16.3</v>
      </c>
      <c r="J708" s="16" t="n">
        <f aca="false">G708*H708</f>
        <v>9954</v>
      </c>
      <c r="K708" s="16" t="n">
        <f aca="false">(H708-I708)*G708</f>
        <v>174</v>
      </c>
      <c r="L708" s="17" t="n">
        <f aca="false">IF(I708=0,0,H708/I708-1)</f>
        <v>0.0177914110429447</v>
      </c>
      <c r="M708" s="14" t="n">
        <v>1</v>
      </c>
      <c r="N708" s="18" t="n">
        <v>0.013</v>
      </c>
    </row>
    <row r="709" customFormat="false" ht="15" hidden="false" customHeight="false" outlineLevel="0" collapsed="false">
      <c r="A709" s="12" t="s">
        <v>768</v>
      </c>
      <c r="B709" s="13" t="n">
        <v>45872</v>
      </c>
      <c r="C709" s="12" t="str">
        <f aca="false">TEXT(B709,"yyyy-mm")</f>
        <v>2025-08</v>
      </c>
      <c r="D709" s="12" t="s">
        <v>39</v>
      </c>
      <c r="E709" s="12" t="s">
        <v>40</v>
      </c>
      <c r="F709" s="12" t="s">
        <v>41</v>
      </c>
      <c r="G709" s="14" t="n">
        <v>600</v>
      </c>
      <c r="H709" s="15" t="n">
        <v>19.32</v>
      </c>
      <c r="I709" s="15" t="n">
        <v>19.3</v>
      </c>
      <c r="J709" s="16" t="n">
        <f aca="false">G709*H709</f>
        <v>11592</v>
      </c>
      <c r="K709" s="16" t="n">
        <f aca="false">(H709-I709)*G709</f>
        <v>11.9999999999997</v>
      </c>
      <c r="L709" s="17" t="n">
        <f aca="false">IF(I709=0,0,H709/I709-1)</f>
        <v>0.00103626943005186</v>
      </c>
      <c r="M709" s="14" t="n">
        <v>1</v>
      </c>
      <c r="N709" s="18" t="n">
        <v>0.023</v>
      </c>
    </row>
    <row r="710" customFormat="false" ht="15" hidden="false" customHeight="false" outlineLevel="0" collapsed="false">
      <c r="A710" s="12" t="s">
        <v>769</v>
      </c>
      <c r="B710" s="13" t="n">
        <v>45873</v>
      </c>
      <c r="C710" s="12" t="str">
        <f aca="false">TEXT(B710,"yyyy-mm")</f>
        <v>2025-08</v>
      </c>
      <c r="D710" s="12" t="s">
        <v>61</v>
      </c>
      <c r="E710" s="12" t="s">
        <v>43</v>
      </c>
      <c r="F710" s="12" t="s">
        <v>44</v>
      </c>
      <c r="G710" s="14" t="n">
        <v>1200</v>
      </c>
      <c r="H710" s="15" t="n">
        <v>15.08</v>
      </c>
      <c r="I710" s="15" t="n">
        <v>14.4</v>
      </c>
      <c r="J710" s="16" t="n">
        <f aca="false">G710*H710</f>
        <v>18096</v>
      </c>
      <c r="K710" s="16" t="n">
        <f aca="false">(H710-I710)*G710</f>
        <v>816</v>
      </c>
      <c r="L710" s="17" t="n">
        <f aca="false">IF(I710=0,0,H710/I710-1)</f>
        <v>0.0472222222222223</v>
      </c>
      <c r="M710" s="14" t="n">
        <v>1</v>
      </c>
      <c r="N710" s="18" t="n">
        <v>0.017</v>
      </c>
    </row>
    <row r="711" customFormat="false" ht="15" hidden="false" customHeight="false" outlineLevel="0" collapsed="false">
      <c r="A711" s="12" t="s">
        <v>770</v>
      </c>
      <c r="B711" s="13" t="n">
        <v>45874</v>
      </c>
      <c r="C711" s="12" t="str">
        <f aca="false">TEXT(B711,"yyyy-mm")</f>
        <v>2025-08</v>
      </c>
      <c r="D711" s="12" t="s">
        <v>35</v>
      </c>
      <c r="E711" s="12" t="s">
        <v>36</v>
      </c>
      <c r="F711" s="12" t="s">
        <v>37</v>
      </c>
      <c r="G711" s="14" t="n">
        <v>2000</v>
      </c>
      <c r="H711" s="15" t="n">
        <v>17.31</v>
      </c>
      <c r="I711" s="15" t="n">
        <v>17.19</v>
      </c>
      <c r="J711" s="16" t="n">
        <f aca="false">G711*H711</f>
        <v>34620</v>
      </c>
      <c r="K711" s="16" t="n">
        <f aca="false">(H711-I711)*G711</f>
        <v>239.999999999995</v>
      </c>
      <c r="L711" s="17" t="n">
        <f aca="false">IF(I711=0,0,H711/I711-1)</f>
        <v>0.00698080279232105</v>
      </c>
      <c r="M711" s="14" t="n">
        <v>1</v>
      </c>
      <c r="N711" s="18" t="n">
        <v>0.025</v>
      </c>
    </row>
    <row r="712" customFormat="false" ht="15" hidden="false" customHeight="false" outlineLevel="0" collapsed="false">
      <c r="A712" s="12" t="s">
        <v>771</v>
      </c>
      <c r="B712" s="13" t="n">
        <v>45874</v>
      </c>
      <c r="C712" s="12" t="str">
        <f aca="false">TEXT(B712,"yyyy-mm")</f>
        <v>2025-08</v>
      </c>
      <c r="D712" s="12" t="s">
        <v>61</v>
      </c>
      <c r="E712" s="12" t="s">
        <v>36</v>
      </c>
      <c r="F712" s="12" t="s">
        <v>37</v>
      </c>
      <c r="G712" s="14" t="n">
        <v>1000</v>
      </c>
      <c r="H712" s="15" t="n">
        <v>14.37</v>
      </c>
      <c r="I712" s="15" t="n">
        <v>14.59</v>
      </c>
      <c r="J712" s="16" t="n">
        <f aca="false">G712*H712</f>
        <v>14370</v>
      </c>
      <c r="K712" s="16" t="n">
        <f aca="false">(H712-I712)*G712</f>
        <v>-220.000000000001</v>
      </c>
      <c r="L712" s="17" t="n">
        <f aca="false">IF(I712=0,0,H712/I712-1)</f>
        <v>-0.0150788211103496</v>
      </c>
      <c r="M712" s="14" t="n">
        <v>1</v>
      </c>
      <c r="N712" s="18" t="n">
        <v>0.016</v>
      </c>
    </row>
    <row r="713" customFormat="false" ht="15" hidden="false" customHeight="false" outlineLevel="0" collapsed="false">
      <c r="A713" s="12" t="s">
        <v>772</v>
      </c>
      <c r="B713" s="13" t="n">
        <v>45874</v>
      </c>
      <c r="C713" s="12" t="str">
        <f aca="false">TEXT(B713,"yyyy-mm")</f>
        <v>2025-08</v>
      </c>
      <c r="D713" s="12" t="s">
        <v>53</v>
      </c>
      <c r="E713" s="12" t="s">
        <v>54</v>
      </c>
      <c r="F713" s="12" t="s">
        <v>55</v>
      </c>
      <c r="G713" s="14" t="n">
        <v>600</v>
      </c>
      <c r="H713" s="15" t="n">
        <v>17.02</v>
      </c>
      <c r="I713" s="15" t="n">
        <v>16.4</v>
      </c>
      <c r="J713" s="16" t="n">
        <f aca="false">G713*H713</f>
        <v>10212</v>
      </c>
      <c r="K713" s="16" t="n">
        <f aca="false">(H713-I713)*G713</f>
        <v>372.000000000001</v>
      </c>
      <c r="L713" s="17" t="n">
        <f aca="false">IF(I713=0,0,H713/I713-1)</f>
        <v>0.0378048780487805</v>
      </c>
      <c r="M713" s="14" t="n">
        <v>1</v>
      </c>
      <c r="N713" s="18" t="n">
        <v>0.015</v>
      </c>
    </row>
    <row r="714" customFormat="false" ht="15" hidden="false" customHeight="false" outlineLevel="0" collapsed="false">
      <c r="A714" s="12" t="s">
        <v>773</v>
      </c>
      <c r="B714" s="13" t="n">
        <v>45874</v>
      </c>
      <c r="C714" s="12" t="str">
        <f aca="false">TEXT(B714,"yyyy-mm")</f>
        <v>2025-08</v>
      </c>
      <c r="D714" s="12" t="s">
        <v>35</v>
      </c>
      <c r="E714" s="12" t="s">
        <v>43</v>
      </c>
      <c r="F714" s="12" t="s">
        <v>44</v>
      </c>
      <c r="G714" s="14" t="n">
        <v>4000</v>
      </c>
      <c r="H714" s="15" t="n">
        <v>17.79</v>
      </c>
      <c r="I714" s="15" t="n">
        <v>17.2</v>
      </c>
      <c r="J714" s="16" t="n">
        <f aca="false">G714*H714</f>
        <v>71160</v>
      </c>
      <c r="K714" s="16" t="n">
        <f aca="false">(H714-I714)*G714</f>
        <v>2360</v>
      </c>
      <c r="L714" s="17" t="n">
        <f aca="false">IF(I714=0,0,H714/I714-1)</f>
        <v>0.0343023255813952</v>
      </c>
      <c r="M714" s="14" t="n">
        <v>1</v>
      </c>
      <c r="N714" s="18" t="n">
        <v>0.014</v>
      </c>
    </row>
    <row r="715" customFormat="false" ht="15" hidden="false" customHeight="false" outlineLevel="0" collapsed="false">
      <c r="A715" s="12" t="s">
        <v>774</v>
      </c>
      <c r="B715" s="13" t="n">
        <v>45875</v>
      </c>
      <c r="C715" s="12" t="str">
        <f aca="false">TEXT(B715,"yyyy-mm")</f>
        <v>2025-08</v>
      </c>
      <c r="D715" s="12" t="s">
        <v>35</v>
      </c>
      <c r="E715" s="12" t="s">
        <v>43</v>
      </c>
      <c r="F715" s="12" t="s">
        <v>44</v>
      </c>
      <c r="G715" s="14" t="n">
        <v>1600</v>
      </c>
      <c r="H715" s="15" t="n">
        <v>17.83</v>
      </c>
      <c r="I715" s="15" t="n">
        <v>17.26</v>
      </c>
      <c r="J715" s="16" t="n">
        <f aca="false">G715*H715</f>
        <v>28528</v>
      </c>
      <c r="K715" s="16" t="n">
        <f aca="false">(H715-I715)*G715</f>
        <v>911.999999999995</v>
      </c>
      <c r="L715" s="17" t="n">
        <f aca="false">IF(I715=0,0,H715/I715-1)</f>
        <v>0.0330243337195826</v>
      </c>
      <c r="M715" s="14" t="n">
        <v>1</v>
      </c>
      <c r="N715" s="18" t="n">
        <v>0.014</v>
      </c>
    </row>
    <row r="716" customFormat="false" ht="15" hidden="false" customHeight="false" outlineLevel="0" collapsed="false">
      <c r="A716" s="12" t="s">
        <v>775</v>
      </c>
      <c r="B716" s="13" t="n">
        <v>45875</v>
      </c>
      <c r="C716" s="12" t="str">
        <f aca="false">TEXT(B716,"yyyy-mm")</f>
        <v>2025-08</v>
      </c>
      <c r="D716" s="12" t="s">
        <v>53</v>
      </c>
      <c r="E716" s="12" t="s">
        <v>54</v>
      </c>
      <c r="F716" s="12" t="s">
        <v>55</v>
      </c>
      <c r="G716" s="14" t="n">
        <v>800</v>
      </c>
      <c r="H716" s="15" t="n">
        <v>16.35</v>
      </c>
      <c r="I716" s="15" t="n">
        <v>16.21</v>
      </c>
      <c r="J716" s="16" t="n">
        <f aca="false">G716*H716</f>
        <v>13080</v>
      </c>
      <c r="K716" s="16" t="n">
        <f aca="false">(H716-I716)*G716</f>
        <v>112</v>
      </c>
      <c r="L716" s="17" t="n">
        <f aca="false">IF(I716=0,0,H716/I716-1)</f>
        <v>0.00863664404688458</v>
      </c>
      <c r="M716" s="14" t="n">
        <v>1</v>
      </c>
      <c r="N716" s="18" t="n">
        <v>0.014</v>
      </c>
    </row>
    <row r="717" customFormat="false" ht="15" hidden="false" customHeight="false" outlineLevel="0" collapsed="false">
      <c r="A717" s="12" t="s">
        <v>776</v>
      </c>
      <c r="B717" s="13" t="n">
        <v>45875</v>
      </c>
      <c r="C717" s="12" t="str">
        <f aca="false">TEXT(B717,"yyyy-mm")</f>
        <v>2025-08</v>
      </c>
      <c r="D717" s="12" t="s">
        <v>80</v>
      </c>
      <c r="E717" s="12" t="s">
        <v>92</v>
      </c>
      <c r="F717" s="12" t="s">
        <v>93</v>
      </c>
      <c r="G717" s="14" t="n">
        <v>2000</v>
      </c>
      <c r="H717" s="15" t="n">
        <v>22.24</v>
      </c>
      <c r="I717" s="15" t="n">
        <v>24.27</v>
      </c>
      <c r="J717" s="16" t="n">
        <f aca="false">G717*H717</f>
        <v>44480</v>
      </c>
      <c r="K717" s="16" t="n">
        <f aca="false">(H717-I717)*G717</f>
        <v>-4060</v>
      </c>
      <c r="L717" s="17" t="n">
        <f aca="false">IF(I717=0,0,H717/I717-1)</f>
        <v>-0.0836423568191183</v>
      </c>
      <c r="M717" s="14" t="n">
        <v>1</v>
      </c>
      <c r="N717" s="18" t="n">
        <v>0.048</v>
      </c>
    </row>
    <row r="718" customFormat="false" ht="15" hidden="false" customHeight="false" outlineLevel="0" collapsed="false">
      <c r="A718" s="12" t="s">
        <v>777</v>
      </c>
      <c r="B718" s="13" t="n">
        <v>45876</v>
      </c>
      <c r="C718" s="12" t="str">
        <f aca="false">TEXT(B718,"yyyy-mm")</f>
        <v>2025-08</v>
      </c>
      <c r="D718" s="12" t="s">
        <v>80</v>
      </c>
      <c r="E718" s="12" t="s">
        <v>81</v>
      </c>
      <c r="F718" s="12" t="s">
        <v>82</v>
      </c>
      <c r="G718" s="14" t="n">
        <v>400</v>
      </c>
      <c r="H718" s="15" t="n">
        <v>23.98</v>
      </c>
      <c r="I718" s="15" t="n">
        <v>23.83</v>
      </c>
      <c r="J718" s="16" t="n">
        <f aca="false">G718*H718</f>
        <v>9592</v>
      </c>
      <c r="K718" s="16" t="n">
        <f aca="false">(H718-I718)*G718</f>
        <v>60.0000000000009</v>
      </c>
      <c r="L718" s="17" t="n">
        <f aca="false">IF(I718=0,0,H718/I718-1)</f>
        <v>0.00629458665547644</v>
      </c>
      <c r="M718" s="14" t="n">
        <v>1</v>
      </c>
      <c r="N718" s="18" t="n">
        <v>0.045</v>
      </c>
    </row>
    <row r="719" customFormat="false" ht="15" hidden="false" customHeight="false" outlineLevel="0" collapsed="false">
      <c r="A719" s="12" t="s">
        <v>778</v>
      </c>
      <c r="B719" s="13" t="n">
        <v>45876</v>
      </c>
      <c r="C719" s="12" t="str">
        <f aca="false">TEXT(B719,"yyyy-mm")</f>
        <v>2025-08</v>
      </c>
      <c r="D719" s="12" t="s">
        <v>80</v>
      </c>
      <c r="E719" s="12" t="s">
        <v>92</v>
      </c>
      <c r="F719" s="12" t="s">
        <v>93</v>
      </c>
      <c r="G719" s="14" t="n">
        <v>400</v>
      </c>
      <c r="H719" s="15" t="n">
        <v>22.23</v>
      </c>
      <c r="I719" s="15" t="n">
        <v>23.23</v>
      </c>
      <c r="J719" s="16" t="n">
        <f aca="false">G719*H719</f>
        <v>8892</v>
      </c>
      <c r="K719" s="16" t="n">
        <f aca="false">(H719-I719)*G719</f>
        <v>-400</v>
      </c>
      <c r="L719" s="17" t="n">
        <f aca="false">IF(I719=0,0,H719/I719-1)</f>
        <v>-0.0430477830391735</v>
      </c>
      <c r="M719" s="14" t="n">
        <v>1</v>
      </c>
      <c r="N719" s="18" t="n">
        <v>0.039</v>
      </c>
    </row>
    <row r="720" customFormat="false" ht="15" hidden="false" customHeight="false" outlineLevel="0" collapsed="false">
      <c r="A720" s="12" t="s">
        <v>779</v>
      </c>
      <c r="B720" s="13" t="n">
        <v>45876</v>
      </c>
      <c r="C720" s="12" t="str">
        <f aca="false">TEXT(B720,"yyyy-mm")</f>
        <v>2025-08</v>
      </c>
      <c r="D720" s="12" t="s">
        <v>39</v>
      </c>
      <c r="E720" s="12" t="s">
        <v>40</v>
      </c>
      <c r="F720" s="12" t="s">
        <v>41</v>
      </c>
      <c r="G720" s="14" t="n">
        <v>600</v>
      </c>
      <c r="H720" s="15" t="n">
        <v>19.14</v>
      </c>
      <c r="I720" s="15" t="n">
        <v>18.93</v>
      </c>
      <c r="J720" s="16" t="n">
        <f aca="false">G720*H720</f>
        <v>11484</v>
      </c>
      <c r="K720" s="16" t="n">
        <f aca="false">(H720-I720)*G720</f>
        <v>126.000000000001</v>
      </c>
      <c r="L720" s="17" t="n">
        <f aca="false">IF(I720=0,0,H720/I720-1)</f>
        <v>0.0110935023771792</v>
      </c>
      <c r="M720" s="14" t="n">
        <v>1</v>
      </c>
      <c r="N720" s="18" t="n">
        <v>0.007</v>
      </c>
    </row>
    <row r="721" customFormat="false" ht="15" hidden="false" customHeight="false" outlineLevel="0" collapsed="false">
      <c r="A721" s="12" t="s">
        <v>780</v>
      </c>
      <c r="B721" s="13" t="n">
        <v>45876</v>
      </c>
      <c r="C721" s="12" t="str">
        <f aca="false">TEXT(B721,"yyyy-mm")</f>
        <v>2025-08</v>
      </c>
      <c r="D721" s="12" t="s">
        <v>75</v>
      </c>
      <c r="E721" s="12" t="s">
        <v>40</v>
      </c>
      <c r="F721" s="12" t="s">
        <v>41</v>
      </c>
      <c r="G721" s="14" t="n">
        <v>200</v>
      </c>
      <c r="H721" s="15" t="n">
        <v>28.79</v>
      </c>
      <c r="I721" s="15" t="n">
        <v>27.49</v>
      </c>
      <c r="J721" s="16" t="n">
        <f aca="false">G721*H721</f>
        <v>5758</v>
      </c>
      <c r="K721" s="16" t="n">
        <f aca="false">(H721-I721)*G721</f>
        <v>260</v>
      </c>
      <c r="L721" s="17" t="n">
        <f aca="false">IF(I721=0,0,H721/I721-1)</f>
        <v>0.0472899236085849</v>
      </c>
      <c r="M721" s="14" t="n">
        <v>1</v>
      </c>
      <c r="N721" s="18" t="n">
        <v>0.03</v>
      </c>
    </row>
    <row r="722" customFormat="false" ht="15" hidden="false" customHeight="false" outlineLevel="0" collapsed="false">
      <c r="A722" s="12" t="s">
        <v>781</v>
      </c>
      <c r="B722" s="13" t="n">
        <v>45876</v>
      </c>
      <c r="C722" s="12" t="str">
        <f aca="false">TEXT(B722,"yyyy-mm")</f>
        <v>2025-08</v>
      </c>
      <c r="D722" s="12" t="s">
        <v>53</v>
      </c>
      <c r="E722" s="12" t="s">
        <v>54</v>
      </c>
      <c r="F722" s="12" t="s">
        <v>55</v>
      </c>
      <c r="G722" s="14" t="n">
        <v>2000</v>
      </c>
      <c r="H722" s="15" t="n">
        <v>16.81</v>
      </c>
      <c r="I722" s="15" t="n">
        <v>16.31</v>
      </c>
      <c r="J722" s="16" t="n">
        <f aca="false">G722*H722</f>
        <v>33620</v>
      </c>
      <c r="K722" s="16" t="n">
        <f aca="false">(H722-I722)*G722</f>
        <v>1000</v>
      </c>
      <c r="L722" s="17" t="n">
        <f aca="false">IF(I722=0,0,H722/I722-1)</f>
        <v>0.0306560392397302</v>
      </c>
      <c r="M722" s="14" t="n">
        <v>1</v>
      </c>
      <c r="N722" s="18" t="n">
        <v>0.005</v>
      </c>
    </row>
    <row r="723" customFormat="false" ht="15" hidden="false" customHeight="false" outlineLevel="0" collapsed="false">
      <c r="A723" s="12" t="s">
        <v>782</v>
      </c>
      <c r="B723" s="13" t="n">
        <v>45877</v>
      </c>
      <c r="C723" s="12" t="str">
        <f aca="false">TEXT(B723,"yyyy-mm")</f>
        <v>2025-08</v>
      </c>
      <c r="D723" s="12" t="s">
        <v>53</v>
      </c>
      <c r="E723" s="12" t="s">
        <v>54</v>
      </c>
      <c r="F723" s="12" t="s">
        <v>55</v>
      </c>
      <c r="G723" s="14" t="n">
        <v>400</v>
      </c>
      <c r="H723" s="15" t="n">
        <v>16.73</v>
      </c>
      <c r="I723" s="15" t="n">
        <v>16.13</v>
      </c>
      <c r="J723" s="16" t="n">
        <f aca="false">G723*H723</f>
        <v>6692</v>
      </c>
      <c r="K723" s="16" t="n">
        <f aca="false">(H723-I723)*G723</f>
        <v>240.000000000001</v>
      </c>
      <c r="L723" s="17" t="n">
        <f aca="false">IF(I723=0,0,H723/I723-1)</f>
        <v>0.037197768133912</v>
      </c>
      <c r="M723" s="14" t="n">
        <v>1</v>
      </c>
      <c r="N723" s="18" t="n">
        <v>0.008</v>
      </c>
    </row>
    <row r="724" customFormat="false" ht="15" hidden="false" customHeight="false" outlineLevel="0" collapsed="false">
      <c r="A724" s="12" t="s">
        <v>783</v>
      </c>
      <c r="B724" s="13" t="n">
        <v>45877</v>
      </c>
      <c r="C724" s="12" t="str">
        <f aca="false">TEXT(B724,"yyyy-mm")</f>
        <v>2025-08</v>
      </c>
      <c r="D724" s="12" t="s">
        <v>61</v>
      </c>
      <c r="E724" s="12" t="s">
        <v>36</v>
      </c>
      <c r="F724" s="12" t="s">
        <v>37</v>
      </c>
      <c r="G724" s="14" t="n">
        <v>1600</v>
      </c>
      <c r="H724" s="15" t="n">
        <v>15.08</v>
      </c>
      <c r="I724" s="15" t="n">
        <v>15.16</v>
      </c>
      <c r="J724" s="16" t="n">
        <f aca="false">G724*H724</f>
        <v>24128</v>
      </c>
      <c r="K724" s="16" t="n">
        <f aca="false">(H724-I724)*G724</f>
        <v>-128</v>
      </c>
      <c r="L724" s="17" t="n">
        <f aca="false">IF(I724=0,0,H724/I724-1)</f>
        <v>-0.00527704485488123</v>
      </c>
      <c r="M724" s="14" t="n">
        <v>1</v>
      </c>
      <c r="N724" s="18" t="n">
        <v>0.023</v>
      </c>
    </row>
    <row r="725" customFormat="false" ht="15" hidden="false" customHeight="false" outlineLevel="0" collapsed="false">
      <c r="A725" s="12" t="s">
        <v>784</v>
      </c>
      <c r="B725" s="13" t="n">
        <v>45877</v>
      </c>
      <c r="C725" s="12" t="str">
        <f aca="false">TEXT(B725,"yyyy-mm")</f>
        <v>2025-08</v>
      </c>
      <c r="D725" s="12" t="s">
        <v>58</v>
      </c>
      <c r="E725" s="12" t="s">
        <v>40</v>
      </c>
      <c r="F725" s="12" t="s">
        <v>41</v>
      </c>
      <c r="G725" s="14" t="n">
        <v>600</v>
      </c>
      <c r="H725" s="15" t="n">
        <v>33.47</v>
      </c>
      <c r="I725" s="15" t="n">
        <v>33.62</v>
      </c>
      <c r="J725" s="16" t="n">
        <f aca="false">G725*H725</f>
        <v>20082</v>
      </c>
      <c r="K725" s="16" t="n">
        <f aca="false">(H725-I725)*G725</f>
        <v>-89.9999999999992</v>
      </c>
      <c r="L725" s="17" t="n">
        <f aca="false">IF(I725=0,0,H725/I725-1)</f>
        <v>-0.00446162998215349</v>
      </c>
      <c r="M725" s="14" t="n">
        <v>1</v>
      </c>
      <c r="N725" s="18" t="n">
        <v>0.007</v>
      </c>
    </row>
    <row r="726" customFormat="false" ht="15" hidden="false" customHeight="false" outlineLevel="0" collapsed="false">
      <c r="A726" s="12" t="s">
        <v>785</v>
      </c>
      <c r="B726" s="13" t="n">
        <v>45877</v>
      </c>
      <c r="C726" s="12" t="str">
        <f aca="false">TEXT(B726,"yyyy-mm")</f>
        <v>2025-08</v>
      </c>
      <c r="D726" s="12" t="s">
        <v>53</v>
      </c>
      <c r="E726" s="12" t="s">
        <v>54</v>
      </c>
      <c r="F726" s="12" t="s">
        <v>55</v>
      </c>
      <c r="G726" s="14" t="n">
        <v>1000</v>
      </c>
      <c r="H726" s="15" t="n">
        <v>16.19</v>
      </c>
      <c r="I726" s="15" t="n">
        <v>16.18</v>
      </c>
      <c r="J726" s="16" t="n">
        <f aca="false">G726*H726</f>
        <v>16190</v>
      </c>
      <c r="K726" s="16" t="n">
        <f aca="false">(H726-I726)*G726</f>
        <v>10.0000000000016</v>
      </c>
      <c r="L726" s="17" t="n">
        <f aca="false">IF(I726=0,0,H726/I726-1)</f>
        <v>0.000618046971569974</v>
      </c>
      <c r="M726" s="14" t="n">
        <v>1</v>
      </c>
      <c r="N726" s="18" t="n">
        <v>0.015</v>
      </c>
    </row>
    <row r="727" customFormat="false" ht="15" hidden="false" customHeight="false" outlineLevel="0" collapsed="false">
      <c r="A727" s="12" t="s">
        <v>786</v>
      </c>
      <c r="B727" s="13" t="n">
        <v>45878</v>
      </c>
      <c r="C727" s="12" t="str">
        <f aca="false">TEXT(B727,"yyyy-mm")</f>
        <v>2025-08</v>
      </c>
      <c r="D727" s="12" t="s">
        <v>61</v>
      </c>
      <c r="E727" s="12" t="s">
        <v>43</v>
      </c>
      <c r="F727" s="12" t="s">
        <v>44</v>
      </c>
      <c r="G727" s="14" t="n">
        <v>1600</v>
      </c>
      <c r="H727" s="15" t="n">
        <v>14.59</v>
      </c>
      <c r="I727" s="15" t="n">
        <v>14.51</v>
      </c>
      <c r="J727" s="16" t="n">
        <f aca="false">G727*H727</f>
        <v>23344</v>
      </c>
      <c r="K727" s="16" t="n">
        <f aca="false">(H727-I727)*G727</f>
        <v>128</v>
      </c>
      <c r="L727" s="17" t="n">
        <f aca="false">IF(I727=0,0,H727/I727-1)</f>
        <v>0.00551343900758106</v>
      </c>
      <c r="M727" s="14" t="n">
        <v>1</v>
      </c>
      <c r="N727" s="18" t="n">
        <v>0.014</v>
      </c>
    </row>
    <row r="728" customFormat="false" ht="15" hidden="false" customHeight="false" outlineLevel="0" collapsed="false">
      <c r="A728" s="12" t="s">
        <v>787</v>
      </c>
      <c r="B728" s="13" t="n">
        <v>45878</v>
      </c>
      <c r="C728" s="12" t="str">
        <f aca="false">TEXT(B728,"yyyy-mm")</f>
        <v>2025-08</v>
      </c>
      <c r="D728" s="12" t="s">
        <v>35</v>
      </c>
      <c r="E728" s="12" t="s">
        <v>43</v>
      </c>
      <c r="F728" s="12" t="s">
        <v>44</v>
      </c>
      <c r="G728" s="14" t="n">
        <v>3200</v>
      </c>
      <c r="H728" s="15" t="n">
        <v>17.75</v>
      </c>
      <c r="I728" s="15" t="n">
        <v>17.04</v>
      </c>
      <c r="J728" s="16" t="n">
        <f aca="false">G728*H728</f>
        <v>56800</v>
      </c>
      <c r="K728" s="16" t="n">
        <f aca="false">(H728-I728)*G728</f>
        <v>2272</v>
      </c>
      <c r="L728" s="17" t="n">
        <f aca="false">IF(I728=0,0,H728/I728-1)</f>
        <v>0.0416666666666667</v>
      </c>
      <c r="M728" s="14" t="n">
        <v>1</v>
      </c>
      <c r="N728" s="18" t="n">
        <v>0.006</v>
      </c>
    </row>
    <row r="729" customFormat="false" ht="15" hidden="false" customHeight="false" outlineLevel="0" collapsed="false">
      <c r="A729" s="12" t="s">
        <v>788</v>
      </c>
      <c r="B729" s="13" t="n">
        <v>45878</v>
      </c>
      <c r="C729" s="12" t="str">
        <f aca="false">TEXT(B729,"yyyy-mm")</f>
        <v>2025-08</v>
      </c>
      <c r="D729" s="12" t="s">
        <v>39</v>
      </c>
      <c r="E729" s="12" t="s">
        <v>46</v>
      </c>
      <c r="F729" s="12" t="s">
        <v>47</v>
      </c>
      <c r="G729" s="14" t="n">
        <v>1000</v>
      </c>
      <c r="H729" s="15" t="n">
        <v>20.19</v>
      </c>
      <c r="I729" s="15" t="n">
        <v>19.75</v>
      </c>
      <c r="J729" s="16" t="n">
        <f aca="false">G729*H729</f>
        <v>20190</v>
      </c>
      <c r="K729" s="16" t="n">
        <f aca="false">(H729-I729)*G729</f>
        <v>440.000000000001</v>
      </c>
      <c r="L729" s="17" t="n">
        <f aca="false">IF(I729=0,0,H729/I729-1)</f>
        <v>0.0222784810126584</v>
      </c>
      <c r="M729" s="14" t="n">
        <v>0</v>
      </c>
      <c r="N729" s="18" t="n">
        <v>0.006</v>
      </c>
    </row>
    <row r="730" customFormat="false" ht="15" hidden="false" customHeight="false" outlineLevel="0" collapsed="false">
      <c r="A730" s="12" t="s">
        <v>789</v>
      </c>
      <c r="B730" s="13" t="n">
        <v>45878</v>
      </c>
      <c r="C730" s="12" t="str">
        <f aca="false">TEXT(B730,"yyyy-mm")</f>
        <v>2025-08</v>
      </c>
      <c r="D730" s="12" t="s">
        <v>75</v>
      </c>
      <c r="E730" s="12" t="s">
        <v>49</v>
      </c>
      <c r="F730" s="12" t="s">
        <v>50</v>
      </c>
      <c r="G730" s="14" t="n">
        <v>1000</v>
      </c>
      <c r="H730" s="15" t="n">
        <v>26.13</v>
      </c>
      <c r="I730" s="15" t="n">
        <v>27.12</v>
      </c>
      <c r="J730" s="16" t="n">
        <f aca="false">G730*H730</f>
        <v>26130</v>
      </c>
      <c r="K730" s="16" t="n">
        <f aca="false">(H730-I730)*G730</f>
        <v>-990.000000000002</v>
      </c>
      <c r="L730" s="17" t="n">
        <f aca="false">IF(I730=0,0,H730/I730-1)</f>
        <v>-0.0365044247787611</v>
      </c>
      <c r="M730" s="14" t="n">
        <v>1</v>
      </c>
      <c r="N730" s="18" t="n">
        <v>0.043</v>
      </c>
    </row>
    <row r="731" customFormat="false" ht="15" hidden="false" customHeight="false" outlineLevel="0" collapsed="false">
      <c r="A731" s="12" t="s">
        <v>790</v>
      </c>
      <c r="B731" s="13" t="n">
        <v>45878</v>
      </c>
      <c r="C731" s="12" t="str">
        <f aca="false">TEXT(B731,"yyyy-mm")</f>
        <v>2025-08</v>
      </c>
      <c r="D731" s="12" t="s">
        <v>80</v>
      </c>
      <c r="E731" s="12" t="s">
        <v>92</v>
      </c>
      <c r="F731" s="12" t="s">
        <v>93</v>
      </c>
      <c r="G731" s="14" t="n">
        <v>600</v>
      </c>
      <c r="H731" s="15" t="n">
        <v>22.64</v>
      </c>
      <c r="I731" s="15" t="n">
        <v>23.88</v>
      </c>
      <c r="J731" s="16" t="n">
        <f aca="false">G731*H731</f>
        <v>13584</v>
      </c>
      <c r="K731" s="16" t="n">
        <f aca="false">(H731-I731)*G731</f>
        <v>-743.999999999999</v>
      </c>
      <c r="L731" s="17" t="n">
        <f aca="false">IF(I731=0,0,H731/I731-1)</f>
        <v>-0.0519262981574539</v>
      </c>
      <c r="M731" s="14" t="n">
        <v>1</v>
      </c>
      <c r="N731" s="18" t="n">
        <v>0.033</v>
      </c>
    </row>
    <row r="732" customFormat="false" ht="15" hidden="false" customHeight="false" outlineLevel="0" collapsed="false">
      <c r="A732" s="12" t="s">
        <v>791</v>
      </c>
      <c r="B732" s="13" t="n">
        <v>45879</v>
      </c>
      <c r="C732" s="12" t="str">
        <f aca="false">TEXT(B732,"yyyy-mm")</f>
        <v>2025-08</v>
      </c>
      <c r="D732" s="12" t="s">
        <v>35</v>
      </c>
      <c r="E732" s="12" t="s">
        <v>43</v>
      </c>
      <c r="F732" s="12" t="s">
        <v>44</v>
      </c>
      <c r="G732" s="14" t="n">
        <v>2400</v>
      </c>
      <c r="H732" s="15" t="n">
        <v>17.29</v>
      </c>
      <c r="I732" s="15" t="n">
        <v>16.75</v>
      </c>
      <c r="J732" s="16" t="n">
        <f aca="false">G732*H732</f>
        <v>41496</v>
      </c>
      <c r="K732" s="16" t="n">
        <f aca="false">(H732-I732)*G732</f>
        <v>1296</v>
      </c>
      <c r="L732" s="17" t="n">
        <f aca="false">IF(I732=0,0,H732/I732-1)</f>
        <v>0.0322388059701493</v>
      </c>
      <c r="M732" s="14" t="n">
        <v>1</v>
      </c>
      <c r="N732" s="18" t="n">
        <v>0.007</v>
      </c>
    </row>
    <row r="733" customFormat="false" ht="15" hidden="false" customHeight="false" outlineLevel="0" collapsed="false">
      <c r="A733" s="12" t="s">
        <v>792</v>
      </c>
      <c r="B733" s="13" t="n">
        <v>45880</v>
      </c>
      <c r="C733" s="12" t="str">
        <f aca="false">TEXT(B733,"yyyy-mm")</f>
        <v>2025-08</v>
      </c>
      <c r="D733" s="12" t="s">
        <v>75</v>
      </c>
      <c r="E733" s="12" t="s">
        <v>76</v>
      </c>
      <c r="F733" s="12" t="s">
        <v>77</v>
      </c>
      <c r="G733" s="14" t="n">
        <v>800</v>
      </c>
      <c r="H733" s="15" t="n">
        <v>27.24</v>
      </c>
      <c r="I733" s="15" t="n">
        <v>27.57</v>
      </c>
      <c r="J733" s="16" t="n">
        <f aca="false">G733*H733</f>
        <v>21792</v>
      </c>
      <c r="K733" s="16" t="n">
        <f aca="false">(H733-I733)*G733</f>
        <v>-264.000000000002</v>
      </c>
      <c r="L733" s="17" t="n">
        <f aca="false">IF(I733=0,0,H733/I733-1)</f>
        <v>-0.0119695321001089</v>
      </c>
      <c r="M733" s="14" t="n">
        <v>1</v>
      </c>
      <c r="N733" s="18" t="n">
        <v>0.024</v>
      </c>
    </row>
    <row r="734" customFormat="false" ht="15" hidden="false" customHeight="false" outlineLevel="0" collapsed="false">
      <c r="A734" s="12" t="s">
        <v>793</v>
      </c>
      <c r="B734" s="13" t="n">
        <v>45881</v>
      </c>
      <c r="C734" s="12" t="str">
        <f aca="false">TEXT(B734,"yyyy-mm")</f>
        <v>2025-08</v>
      </c>
      <c r="D734" s="12" t="s">
        <v>58</v>
      </c>
      <c r="E734" s="12" t="s">
        <v>40</v>
      </c>
      <c r="F734" s="12" t="s">
        <v>41</v>
      </c>
      <c r="G734" s="14" t="n">
        <v>600</v>
      </c>
      <c r="H734" s="15" t="n">
        <v>36.31</v>
      </c>
      <c r="I734" s="15" t="n">
        <v>35.22</v>
      </c>
      <c r="J734" s="16" t="n">
        <f aca="false">G734*H734</f>
        <v>21786</v>
      </c>
      <c r="K734" s="16" t="n">
        <f aca="false">(H734-I734)*G734</f>
        <v>654.000000000002</v>
      </c>
      <c r="L734" s="17" t="n">
        <f aca="false">IF(I734=0,0,H734/I734-1)</f>
        <v>0.0309483248154459</v>
      </c>
      <c r="M734" s="14" t="n">
        <v>1</v>
      </c>
      <c r="N734" s="18" t="n">
        <v>0.021</v>
      </c>
    </row>
    <row r="735" customFormat="false" ht="15" hidden="false" customHeight="false" outlineLevel="0" collapsed="false">
      <c r="A735" s="12" t="s">
        <v>794</v>
      </c>
      <c r="B735" s="13" t="n">
        <v>45881</v>
      </c>
      <c r="C735" s="12" t="str">
        <f aca="false">TEXT(B735,"yyyy-mm")</f>
        <v>2025-08</v>
      </c>
      <c r="D735" s="12" t="s">
        <v>80</v>
      </c>
      <c r="E735" s="12" t="s">
        <v>92</v>
      </c>
      <c r="F735" s="12" t="s">
        <v>93</v>
      </c>
      <c r="G735" s="14" t="n">
        <v>1600</v>
      </c>
      <c r="H735" s="15" t="n">
        <v>22.65</v>
      </c>
      <c r="I735" s="15" t="n">
        <v>23.33</v>
      </c>
      <c r="J735" s="16" t="n">
        <f aca="false">G735*H735</f>
        <v>36240</v>
      </c>
      <c r="K735" s="16" t="n">
        <f aca="false">(H735-I735)*G735</f>
        <v>-1088</v>
      </c>
      <c r="L735" s="17" t="n">
        <f aca="false">IF(I735=0,0,H735/I735-1)</f>
        <v>-0.0291470210030004</v>
      </c>
      <c r="M735" s="14" t="n">
        <v>1</v>
      </c>
      <c r="N735" s="18" t="n">
        <v>0.043</v>
      </c>
    </row>
    <row r="736" customFormat="false" ht="15" hidden="false" customHeight="false" outlineLevel="0" collapsed="false">
      <c r="A736" s="12" t="s">
        <v>795</v>
      </c>
      <c r="B736" s="13" t="n">
        <v>45881</v>
      </c>
      <c r="C736" s="12" t="str">
        <f aca="false">TEXT(B736,"yyyy-mm")</f>
        <v>2025-08</v>
      </c>
      <c r="D736" s="12" t="s">
        <v>58</v>
      </c>
      <c r="E736" s="12" t="s">
        <v>59</v>
      </c>
      <c r="F736" s="12" t="s">
        <v>55</v>
      </c>
      <c r="G736" s="14" t="n">
        <v>2000</v>
      </c>
      <c r="H736" s="15" t="n">
        <v>35.98</v>
      </c>
      <c r="I736" s="15" t="n">
        <v>34.29</v>
      </c>
      <c r="J736" s="16" t="n">
        <f aca="false">G736*H736</f>
        <v>71960</v>
      </c>
      <c r="K736" s="16" t="n">
        <f aca="false">(H736-I736)*G736</f>
        <v>3380</v>
      </c>
      <c r="L736" s="17" t="n">
        <f aca="false">IF(I736=0,0,H736/I736-1)</f>
        <v>0.0492855059784194</v>
      </c>
      <c r="M736" s="14" t="n">
        <v>0</v>
      </c>
      <c r="N736" s="18" t="n">
        <v>0.018</v>
      </c>
    </row>
    <row r="737" customFormat="false" ht="15" hidden="false" customHeight="false" outlineLevel="0" collapsed="false">
      <c r="A737" s="12" t="s">
        <v>796</v>
      </c>
      <c r="B737" s="13" t="n">
        <v>45882</v>
      </c>
      <c r="C737" s="12" t="str">
        <f aca="false">TEXT(B737,"yyyy-mm")</f>
        <v>2025-08</v>
      </c>
      <c r="D737" s="12" t="s">
        <v>35</v>
      </c>
      <c r="E737" s="12" t="s">
        <v>43</v>
      </c>
      <c r="F737" s="12" t="s">
        <v>44</v>
      </c>
      <c r="G737" s="14" t="n">
        <v>1600</v>
      </c>
      <c r="H737" s="15" t="n">
        <v>18.08</v>
      </c>
      <c r="I737" s="15" t="n">
        <v>17.12</v>
      </c>
      <c r="J737" s="16" t="n">
        <f aca="false">G737*H737</f>
        <v>28928</v>
      </c>
      <c r="K737" s="16" t="n">
        <f aca="false">(H737-I737)*G737</f>
        <v>1536</v>
      </c>
      <c r="L737" s="17" t="n">
        <f aca="false">IF(I737=0,0,H737/I737-1)</f>
        <v>0.05607476635514</v>
      </c>
      <c r="M737" s="14" t="n">
        <v>1</v>
      </c>
      <c r="N737" s="18" t="n">
        <v>0.004</v>
      </c>
    </row>
    <row r="738" customFormat="false" ht="15" hidden="false" customHeight="false" outlineLevel="0" collapsed="false">
      <c r="A738" s="12" t="s">
        <v>797</v>
      </c>
      <c r="B738" s="13" t="n">
        <v>45882</v>
      </c>
      <c r="C738" s="12" t="str">
        <f aca="false">TEXT(B738,"yyyy-mm")</f>
        <v>2025-08</v>
      </c>
      <c r="D738" s="12" t="s">
        <v>111</v>
      </c>
      <c r="E738" s="12" t="s">
        <v>92</v>
      </c>
      <c r="F738" s="12" t="s">
        <v>93</v>
      </c>
      <c r="G738" s="14" t="n">
        <v>600</v>
      </c>
      <c r="H738" s="15" t="n">
        <v>19</v>
      </c>
      <c r="I738" s="15" t="n">
        <v>20.61</v>
      </c>
      <c r="J738" s="16" t="n">
        <f aca="false">G738*H738</f>
        <v>11400</v>
      </c>
      <c r="K738" s="16" t="n">
        <f aca="false">(H738-I738)*G738</f>
        <v>-966</v>
      </c>
      <c r="L738" s="17" t="n">
        <f aca="false">IF(I738=0,0,H738/I738-1)</f>
        <v>-0.0781174187287724</v>
      </c>
      <c r="M738" s="14" t="n">
        <v>0</v>
      </c>
      <c r="N738" s="18" t="n">
        <v>0.02</v>
      </c>
    </row>
    <row r="739" customFormat="false" ht="15" hidden="false" customHeight="false" outlineLevel="0" collapsed="false">
      <c r="A739" s="12" t="s">
        <v>798</v>
      </c>
      <c r="B739" s="13" t="n">
        <v>45882</v>
      </c>
      <c r="C739" s="12" t="str">
        <f aca="false">TEXT(B739,"yyyy-mm")</f>
        <v>2025-08</v>
      </c>
      <c r="D739" s="12" t="s">
        <v>35</v>
      </c>
      <c r="E739" s="12" t="s">
        <v>43</v>
      </c>
      <c r="F739" s="12" t="s">
        <v>44</v>
      </c>
      <c r="G739" s="14" t="n">
        <v>2400</v>
      </c>
      <c r="H739" s="15" t="n">
        <v>17.97</v>
      </c>
      <c r="I739" s="15" t="n">
        <v>16.97</v>
      </c>
      <c r="J739" s="16" t="n">
        <f aca="false">G739*H739</f>
        <v>43128</v>
      </c>
      <c r="K739" s="16" t="n">
        <f aca="false">(H739-I739)*G739</f>
        <v>2400</v>
      </c>
      <c r="L739" s="17" t="n">
        <f aca="false">IF(I739=0,0,H739/I739-1)</f>
        <v>0.0589275191514438</v>
      </c>
      <c r="M739" s="14" t="n">
        <v>1</v>
      </c>
      <c r="N739" s="18" t="n">
        <v>0.013</v>
      </c>
    </row>
    <row r="740" customFormat="false" ht="15" hidden="false" customHeight="false" outlineLevel="0" collapsed="false">
      <c r="A740" s="12" t="s">
        <v>799</v>
      </c>
      <c r="B740" s="13" t="n">
        <v>45883</v>
      </c>
      <c r="C740" s="12" t="str">
        <f aca="false">TEXT(B740,"yyyy-mm")</f>
        <v>2025-08</v>
      </c>
      <c r="D740" s="12" t="s">
        <v>111</v>
      </c>
      <c r="E740" s="12" t="s">
        <v>76</v>
      </c>
      <c r="F740" s="12" t="s">
        <v>77</v>
      </c>
      <c r="G740" s="14" t="n">
        <v>2000</v>
      </c>
      <c r="H740" s="15" t="n">
        <v>21.2</v>
      </c>
      <c r="I740" s="15" t="n">
        <v>21.07</v>
      </c>
      <c r="J740" s="16" t="n">
        <f aca="false">G740*H740</f>
        <v>42400</v>
      </c>
      <c r="K740" s="16" t="n">
        <f aca="false">(H740-I740)*G740</f>
        <v>259.999999999998</v>
      </c>
      <c r="L740" s="17" t="n">
        <f aca="false">IF(I740=0,0,H740/I740-1)</f>
        <v>0.0061699098243948</v>
      </c>
      <c r="M740" s="14" t="n">
        <v>1</v>
      </c>
      <c r="N740" s="18" t="n">
        <v>0.018</v>
      </c>
    </row>
    <row r="741" customFormat="false" ht="15" hidden="false" customHeight="false" outlineLevel="0" collapsed="false">
      <c r="A741" s="12" t="s">
        <v>800</v>
      </c>
      <c r="B741" s="13" t="n">
        <v>45883</v>
      </c>
      <c r="C741" s="12" t="str">
        <f aca="false">TEXT(B741,"yyyy-mm")</f>
        <v>2025-08</v>
      </c>
      <c r="D741" s="12" t="s">
        <v>35</v>
      </c>
      <c r="E741" s="12" t="s">
        <v>43</v>
      </c>
      <c r="F741" s="12" t="s">
        <v>44</v>
      </c>
      <c r="G741" s="14" t="n">
        <v>400</v>
      </c>
      <c r="H741" s="15" t="n">
        <v>16.88</v>
      </c>
      <c r="I741" s="15" t="n">
        <v>16.73</v>
      </c>
      <c r="J741" s="16" t="n">
        <f aca="false">G741*H741</f>
        <v>6752</v>
      </c>
      <c r="K741" s="16" t="n">
        <f aca="false">(H741-I741)*G741</f>
        <v>59.9999999999994</v>
      </c>
      <c r="L741" s="17" t="n">
        <f aca="false">IF(I741=0,0,H741/I741-1)</f>
        <v>0.00896592946802133</v>
      </c>
      <c r="M741" s="14" t="n">
        <v>1</v>
      </c>
      <c r="N741" s="18" t="n">
        <v>0.013</v>
      </c>
    </row>
    <row r="742" customFormat="false" ht="15" hidden="false" customHeight="false" outlineLevel="0" collapsed="false">
      <c r="A742" s="12" t="s">
        <v>801</v>
      </c>
      <c r="B742" s="13" t="n">
        <v>45883</v>
      </c>
      <c r="C742" s="12" t="str">
        <f aca="false">TEXT(B742,"yyyy-mm")</f>
        <v>2025-08</v>
      </c>
      <c r="D742" s="12" t="s">
        <v>111</v>
      </c>
      <c r="E742" s="12" t="s">
        <v>92</v>
      </c>
      <c r="F742" s="12" t="s">
        <v>93</v>
      </c>
      <c r="G742" s="14" t="n">
        <v>1000</v>
      </c>
      <c r="H742" s="15" t="n">
        <v>18.78</v>
      </c>
      <c r="I742" s="15" t="n">
        <v>20.32</v>
      </c>
      <c r="J742" s="16" t="n">
        <f aca="false">G742*H742</f>
        <v>18780</v>
      </c>
      <c r="K742" s="16" t="n">
        <f aca="false">(H742-I742)*G742</f>
        <v>-1540</v>
      </c>
      <c r="L742" s="17" t="n">
        <f aca="false">IF(I742=0,0,H742/I742-1)</f>
        <v>-0.0757874015748031</v>
      </c>
      <c r="M742" s="14" t="n">
        <v>1</v>
      </c>
      <c r="N742" s="18" t="n">
        <v>0.044</v>
      </c>
    </row>
    <row r="743" customFormat="false" ht="15" hidden="false" customHeight="false" outlineLevel="0" collapsed="false">
      <c r="A743" s="12" t="s">
        <v>802</v>
      </c>
      <c r="B743" s="13" t="n">
        <v>45883</v>
      </c>
      <c r="C743" s="12" t="str">
        <f aca="false">TEXT(B743,"yyyy-mm")</f>
        <v>2025-08</v>
      </c>
      <c r="D743" s="12" t="s">
        <v>58</v>
      </c>
      <c r="E743" s="12" t="s">
        <v>76</v>
      </c>
      <c r="F743" s="12" t="s">
        <v>77</v>
      </c>
      <c r="G743" s="14" t="n">
        <v>200</v>
      </c>
      <c r="H743" s="15" t="n">
        <v>34.48</v>
      </c>
      <c r="I743" s="15" t="n">
        <v>34.64</v>
      </c>
      <c r="J743" s="16" t="n">
        <f aca="false">G743*H743</f>
        <v>6896</v>
      </c>
      <c r="K743" s="16" t="n">
        <f aca="false">(H743-I743)*G743</f>
        <v>-32.0000000000007</v>
      </c>
      <c r="L743" s="17" t="n">
        <f aca="false">IF(I743=0,0,H743/I743-1)</f>
        <v>-0.00461893764434196</v>
      </c>
      <c r="M743" s="14" t="n">
        <v>1</v>
      </c>
      <c r="N743" s="18" t="n">
        <v>0.026</v>
      </c>
    </row>
    <row r="744" customFormat="false" ht="15" hidden="false" customHeight="false" outlineLevel="0" collapsed="false">
      <c r="A744" s="12" t="s">
        <v>803</v>
      </c>
      <c r="B744" s="13" t="n">
        <v>45883</v>
      </c>
      <c r="C744" s="12" t="str">
        <f aca="false">TEXT(B744,"yyyy-mm")</f>
        <v>2025-08</v>
      </c>
      <c r="D744" s="12" t="s">
        <v>58</v>
      </c>
      <c r="E744" s="12" t="s">
        <v>40</v>
      </c>
      <c r="F744" s="12" t="s">
        <v>41</v>
      </c>
      <c r="G744" s="14" t="n">
        <v>1000</v>
      </c>
      <c r="H744" s="15" t="n">
        <v>37.05</v>
      </c>
      <c r="I744" s="15" t="n">
        <v>35.56</v>
      </c>
      <c r="J744" s="16" t="n">
        <f aca="false">G744*H744</f>
        <v>37050</v>
      </c>
      <c r="K744" s="16" t="n">
        <f aca="false">(H744-I744)*G744</f>
        <v>1490</v>
      </c>
      <c r="L744" s="17" t="n">
        <f aca="false">IF(I744=0,0,H744/I744-1)</f>
        <v>0.0419010123734531</v>
      </c>
      <c r="M744" s="14" t="n">
        <v>1</v>
      </c>
      <c r="N744" s="18" t="n">
        <v>0.018</v>
      </c>
    </row>
    <row r="745" customFormat="false" ht="15" hidden="false" customHeight="false" outlineLevel="0" collapsed="false">
      <c r="A745" s="12" t="s">
        <v>804</v>
      </c>
      <c r="B745" s="13" t="n">
        <v>45883</v>
      </c>
      <c r="C745" s="12" t="str">
        <f aca="false">TEXT(B745,"yyyy-mm")</f>
        <v>2025-08</v>
      </c>
      <c r="D745" s="12" t="s">
        <v>35</v>
      </c>
      <c r="E745" s="12" t="s">
        <v>43</v>
      </c>
      <c r="F745" s="12" t="s">
        <v>44</v>
      </c>
      <c r="G745" s="14" t="n">
        <v>4000</v>
      </c>
      <c r="H745" s="15" t="n">
        <v>17.38</v>
      </c>
      <c r="I745" s="15" t="n">
        <v>16.42</v>
      </c>
      <c r="J745" s="16" t="n">
        <f aca="false">G745*H745</f>
        <v>69520</v>
      </c>
      <c r="K745" s="16" t="n">
        <f aca="false">(H745-I745)*G745</f>
        <v>3839.99999999999</v>
      </c>
      <c r="L745" s="17" t="n">
        <f aca="false">IF(I745=0,0,H745/I745-1)</f>
        <v>0.0584652862362971</v>
      </c>
      <c r="M745" s="14" t="n">
        <v>1</v>
      </c>
      <c r="N745" s="18" t="n">
        <v>0.009</v>
      </c>
    </row>
    <row r="746" customFormat="false" ht="15" hidden="false" customHeight="false" outlineLevel="0" collapsed="false">
      <c r="A746" s="12" t="s">
        <v>805</v>
      </c>
      <c r="B746" s="13" t="n">
        <v>45883</v>
      </c>
      <c r="C746" s="12" t="str">
        <f aca="false">TEXT(B746,"yyyy-mm")</f>
        <v>2025-08</v>
      </c>
      <c r="D746" s="12" t="s">
        <v>35</v>
      </c>
      <c r="E746" s="12" t="s">
        <v>43</v>
      </c>
      <c r="F746" s="12" t="s">
        <v>44</v>
      </c>
      <c r="G746" s="14" t="n">
        <v>800</v>
      </c>
      <c r="H746" s="15" t="n">
        <v>17.56</v>
      </c>
      <c r="I746" s="15" t="n">
        <v>16.98</v>
      </c>
      <c r="J746" s="16" t="n">
        <f aca="false">G746*H746</f>
        <v>14048</v>
      </c>
      <c r="K746" s="16" t="n">
        <f aca="false">(H746-I746)*G746</f>
        <v>463.999999999999</v>
      </c>
      <c r="L746" s="17" t="n">
        <f aca="false">IF(I746=0,0,H746/I746-1)</f>
        <v>0.034157832744405</v>
      </c>
      <c r="M746" s="14" t="n">
        <v>1</v>
      </c>
      <c r="N746" s="18" t="n">
        <v>0.013</v>
      </c>
    </row>
    <row r="747" customFormat="false" ht="15" hidden="false" customHeight="false" outlineLevel="0" collapsed="false">
      <c r="A747" s="12" t="s">
        <v>806</v>
      </c>
      <c r="B747" s="13" t="n">
        <v>45884</v>
      </c>
      <c r="C747" s="12" t="str">
        <f aca="false">TEXT(B747,"yyyy-mm")</f>
        <v>2025-08</v>
      </c>
      <c r="D747" s="12" t="s">
        <v>53</v>
      </c>
      <c r="E747" s="12" t="s">
        <v>54</v>
      </c>
      <c r="F747" s="12" t="s">
        <v>55</v>
      </c>
      <c r="G747" s="14" t="n">
        <v>200</v>
      </c>
      <c r="H747" s="15" t="n">
        <v>16.83</v>
      </c>
      <c r="I747" s="15" t="n">
        <v>16.29</v>
      </c>
      <c r="J747" s="16" t="n">
        <f aca="false">G747*H747</f>
        <v>3366</v>
      </c>
      <c r="K747" s="16" t="n">
        <f aca="false">(H747-I747)*G747</f>
        <v>108</v>
      </c>
      <c r="L747" s="17" t="n">
        <f aca="false">IF(I747=0,0,H747/I747-1)</f>
        <v>0.0331491712707182</v>
      </c>
      <c r="M747" s="14" t="n">
        <v>1</v>
      </c>
      <c r="N747" s="18" t="n">
        <v>0.02</v>
      </c>
    </row>
    <row r="748" customFormat="false" ht="15" hidden="false" customHeight="false" outlineLevel="0" collapsed="false">
      <c r="A748" s="12" t="s">
        <v>807</v>
      </c>
      <c r="B748" s="13" t="n">
        <v>45884</v>
      </c>
      <c r="C748" s="12" t="str">
        <f aca="false">TEXT(B748,"yyyy-mm")</f>
        <v>2025-08</v>
      </c>
      <c r="D748" s="12" t="s">
        <v>75</v>
      </c>
      <c r="E748" s="12" t="s">
        <v>40</v>
      </c>
      <c r="F748" s="12" t="s">
        <v>41</v>
      </c>
      <c r="G748" s="14" t="n">
        <v>600</v>
      </c>
      <c r="H748" s="15" t="n">
        <v>27.45</v>
      </c>
      <c r="I748" s="15" t="n">
        <v>27.35</v>
      </c>
      <c r="J748" s="16" t="n">
        <f aca="false">G748*H748</f>
        <v>16470</v>
      </c>
      <c r="K748" s="16" t="n">
        <f aca="false">(H748-I748)*G748</f>
        <v>59.9999999999987</v>
      </c>
      <c r="L748" s="17" t="n">
        <f aca="false">IF(I748=0,0,H748/I748-1)</f>
        <v>0.00365630712979881</v>
      </c>
      <c r="M748" s="14" t="n">
        <v>1</v>
      </c>
      <c r="N748" s="18" t="n">
        <v>0.022</v>
      </c>
    </row>
    <row r="749" customFormat="false" ht="15" hidden="false" customHeight="false" outlineLevel="0" collapsed="false">
      <c r="A749" s="12" t="s">
        <v>808</v>
      </c>
      <c r="B749" s="13" t="n">
        <v>45884</v>
      </c>
      <c r="C749" s="12" t="str">
        <f aca="false">TEXT(B749,"yyyy-mm")</f>
        <v>2025-08</v>
      </c>
      <c r="D749" s="12" t="s">
        <v>53</v>
      </c>
      <c r="E749" s="12" t="s">
        <v>54</v>
      </c>
      <c r="F749" s="12" t="s">
        <v>55</v>
      </c>
      <c r="G749" s="14" t="n">
        <v>800</v>
      </c>
      <c r="H749" s="15" t="n">
        <v>17.49</v>
      </c>
      <c r="I749" s="15" t="n">
        <v>16.86</v>
      </c>
      <c r="J749" s="16" t="n">
        <f aca="false">G749*H749</f>
        <v>13992</v>
      </c>
      <c r="K749" s="16" t="n">
        <f aca="false">(H749-I749)*G749</f>
        <v>503.999999999999</v>
      </c>
      <c r="L749" s="17" t="n">
        <f aca="false">IF(I749=0,0,H749/I749-1)</f>
        <v>0.0373665480427046</v>
      </c>
      <c r="M749" s="14" t="n">
        <v>1</v>
      </c>
      <c r="N749" s="18" t="n">
        <v>0.014</v>
      </c>
    </row>
    <row r="750" customFormat="false" ht="15" hidden="false" customHeight="false" outlineLevel="0" collapsed="false">
      <c r="A750" s="12" t="s">
        <v>809</v>
      </c>
      <c r="B750" s="13" t="n">
        <v>45884</v>
      </c>
      <c r="C750" s="12" t="str">
        <f aca="false">TEXT(B750,"yyyy-mm")</f>
        <v>2025-08</v>
      </c>
      <c r="D750" s="12" t="s">
        <v>53</v>
      </c>
      <c r="E750" s="12" t="s">
        <v>49</v>
      </c>
      <c r="F750" s="12" t="s">
        <v>50</v>
      </c>
      <c r="G750" s="14" t="n">
        <v>1600</v>
      </c>
      <c r="H750" s="15" t="n">
        <v>17.09</v>
      </c>
      <c r="I750" s="15" t="n">
        <v>16.92</v>
      </c>
      <c r="J750" s="16" t="n">
        <f aca="false">G750*H750</f>
        <v>27344</v>
      </c>
      <c r="K750" s="16" t="n">
        <f aca="false">(H750-I750)*G750</f>
        <v>271.999999999997</v>
      </c>
      <c r="L750" s="17" t="n">
        <f aca="false">IF(I750=0,0,H750/I750-1)</f>
        <v>0.010047281323877</v>
      </c>
      <c r="M750" s="14" t="n">
        <v>1</v>
      </c>
      <c r="N750" s="18" t="n">
        <v>0.044</v>
      </c>
    </row>
    <row r="751" customFormat="false" ht="15" hidden="false" customHeight="false" outlineLevel="0" collapsed="false">
      <c r="A751" s="12" t="s">
        <v>810</v>
      </c>
      <c r="B751" s="13" t="n">
        <v>45884</v>
      </c>
      <c r="C751" s="12" t="str">
        <f aca="false">TEXT(B751,"yyyy-mm")</f>
        <v>2025-08</v>
      </c>
      <c r="D751" s="12" t="s">
        <v>61</v>
      </c>
      <c r="E751" s="12" t="s">
        <v>36</v>
      </c>
      <c r="F751" s="12" t="s">
        <v>37</v>
      </c>
      <c r="G751" s="14" t="n">
        <v>400</v>
      </c>
      <c r="H751" s="15" t="n">
        <v>14.99</v>
      </c>
      <c r="I751" s="15" t="n">
        <v>15.16</v>
      </c>
      <c r="J751" s="16" t="n">
        <f aca="false">G751*H751</f>
        <v>5996</v>
      </c>
      <c r="K751" s="16" t="n">
        <f aca="false">(H751-I751)*G751</f>
        <v>-68</v>
      </c>
      <c r="L751" s="17" t="n">
        <f aca="false">IF(I751=0,0,H751/I751-1)</f>
        <v>-0.0112137203166227</v>
      </c>
      <c r="M751" s="14" t="n">
        <v>1</v>
      </c>
      <c r="N751" s="18" t="n">
        <v>0.016</v>
      </c>
    </row>
    <row r="752" customFormat="false" ht="15" hidden="false" customHeight="false" outlineLevel="0" collapsed="false">
      <c r="A752" s="12" t="s">
        <v>811</v>
      </c>
      <c r="B752" s="13" t="n">
        <v>45885</v>
      </c>
      <c r="C752" s="12" t="str">
        <f aca="false">TEXT(B752,"yyyy-mm")</f>
        <v>2025-08</v>
      </c>
      <c r="D752" s="12" t="s">
        <v>111</v>
      </c>
      <c r="E752" s="12" t="s">
        <v>76</v>
      </c>
      <c r="F752" s="12" t="s">
        <v>77</v>
      </c>
      <c r="G752" s="14" t="n">
        <v>600</v>
      </c>
      <c r="H752" s="15" t="n">
        <v>20.14</v>
      </c>
      <c r="I752" s="15" t="n">
        <v>20.26</v>
      </c>
      <c r="J752" s="16" t="n">
        <f aca="false">G752*H752</f>
        <v>12084</v>
      </c>
      <c r="K752" s="16" t="n">
        <f aca="false">(H752-I752)*G752</f>
        <v>-72.0000000000006</v>
      </c>
      <c r="L752" s="17" t="n">
        <f aca="false">IF(I752=0,0,H752/I752-1)</f>
        <v>-0.00592300098716692</v>
      </c>
      <c r="M752" s="14" t="n">
        <v>1</v>
      </c>
      <c r="N752" s="18" t="n">
        <v>0.03</v>
      </c>
    </row>
    <row r="753" customFormat="false" ht="15" hidden="false" customHeight="false" outlineLevel="0" collapsed="false">
      <c r="A753" s="12" t="s">
        <v>812</v>
      </c>
      <c r="B753" s="13" t="n">
        <v>45885</v>
      </c>
      <c r="C753" s="12" t="str">
        <f aca="false">TEXT(B753,"yyyy-mm")</f>
        <v>2025-08</v>
      </c>
      <c r="D753" s="12" t="s">
        <v>53</v>
      </c>
      <c r="E753" s="12" t="s">
        <v>54</v>
      </c>
      <c r="F753" s="12" t="s">
        <v>55</v>
      </c>
      <c r="G753" s="14" t="n">
        <v>2000</v>
      </c>
      <c r="H753" s="15" t="n">
        <v>17.93</v>
      </c>
      <c r="I753" s="15" t="n">
        <v>17.04</v>
      </c>
      <c r="J753" s="16" t="n">
        <f aca="false">G753*H753</f>
        <v>35860</v>
      </c>
      <c r="K753" s="16" t="n">
        <f aca="false">(H753-I753)*G753</f>
        <v>1780</v>
      </c>
      <c r="L753" s="17" t="n">
        <f aca="false">IF(I753=0,0,H753/I753-1)</f>
        <v>0.0522300469483568</v>
      </c>
      <c r="M753" s="14" t="n">
        <v>1</v>
      </c>
      <c r="N753" s="18" t="n">
        <v>0.013</v>
      </c>
    </row>
    <row r="754" customFormat="false" ht="15" hidden="false" customHeight="false" outlineLevel="0" collapsed="false">
      <c r="A754" s="12" t="s">
        <v>813</v>
      </c>
      <c r="B754" s="13" t="n">
        <v>45885</v>
      </c>
      <c r="C754" s="12" t="str">
        <f aca="false">TEXT(B754,"yyyy-mm")</f>
        <v>2025-08</v>
      </c>
      <c r="D754" s="12" t="s">
        <v>35</v>
      </c>
      <c r="E754" s="12" t="s">
        <v>43</v>
      </c>
      <c r="F754" s="12" t="s">
        <v>44</v>
      </c>
      <c r="G754" s="14" t="n">
        <v>800</v>
      </c>
      <c r="H754" s="15" t="n">
        <v>17.26</v>
      </c>
      <c r="I754" s="15" t="n">
        <v>16.37</v>
      </c>
      <c r="J754" s="16" t="n">
        <f aca="false">G754*H754</f>
        <v>13808</v>
      </c>
      <c r="K754" s="16" t="n">
        <f aca="false">(H754-I754)*G754</f>
        <v>712.000000000001</v>
      </c>
      <c r="L754" s="17" t="n">
        <f aca="false">IF(I754=0,0,H754/I754-1)</f>
        <v>0.0543677458766036</v>
      </c>
      <c r="M754" s="14" t="n">
        <v>1</v>
      </c>
      <c r="N754" s="18" t="n">
        <v>0.012</v>
      </c>
    </row>
    <row r="755" customFormat="false" ht="15" hidden="false" customHeight="false" outlineLevel="0" collapsed="false">
      <c r="A755" s="12" t="s">
        <v>814</v>
      </c>
      <c r="B755" s="13" t="n">
        <v>45886</v>
      </c>
      <c r="C755" s="12" t="str">
        <f aca="false">TEXT(B755,"yyyy-mm")</f>
        <v>2025-08</v>
      </c>
      <c r="D755" s="12" t="s">
        <v>75</v>
      </c>
      <c r="E755" s="12" t="s">
        <v>76</v>
      </c>
      <c r="F755" s="12" t="s">
        <v>77</v>
      </c>
      <c r="G755" s="14" t="n">
        <v>1600</v>
      </c>
      <c r="H755" s="15" t="n">
        <v>26.94</v>
      </c>
      <c r="I755" s="15" t="n">
        <v>26.22</v>
      </c>
      <c r="J755" s="16" t="n">
        <f aca="false">G755*H755</f>
        <v>43104</v>
      </c>
      <c r="K755" s="16" t="n">
        <f aca="false">(H755-I755)*G755</f>
        <v>1152</v>
      </c>
      <c r="L755" s="17" t="n">
        <f aca="false">IF(I755=0,0,H755/I755-1)</f>
        <v>0.0274599542334097</v>
      </c>
      <c r="M755" s="14" t="n">
        <v>1</v>
      </c>
      <c r="N755" s="18" t="n">
        <v>0.025</v>
      </c>
    </row>
    <row r="756" customFormat="false" ht="15" hidden="false" customHeight="false" outlineLevel="0" collapsed="false">
      <c r="A756" s="12" t="s">
        <v>815</v>
      </c>
      <c r="B756" s="13" t="n">
        <v>45886</v>
      </c>
      <c r="C756" s="12" t="str">
        <f aca="false">TEXT(B756,"yyyy-mm")</f>
        <v>2025-08</v>
      </c>
      <c r="D756" s="12" t="s">
        <v>61</v>
      </c>
      <c r="E756" s="12" t="s">
        <v>43</v>
      </c>
      <c r="F756" s="12" t="s">
        <v>44</v>
      </c>
      <c r="G756" s="14" t="n">
        <v>1200</v>
      </c>
      <c r="H756" s="15" t="n">
        <v>14.72</v>
      </c>
      <c r="I756" s="15" t="n">
        <v>14.36</v>
      </c>
      <c r="J756" s="16" t="n">
        <f aca="false">G756*H756</f>
        <v>17664</v>
      </c>
      <c r="K756" s="16" t="n">
        <f aca="false">(H756-I756)*G756</f>
        <v>432.000000000002</v>
      </c>
      <c r="L756" s="17" t="n">
        <f aca="false">IF(I756=0,0,H756/I756-1)</f>
        <v>0.0250696378830084</v>
      </c>
      <c r="M756" s="14" t="n">
        <v>1</v>
      </c>
      <c r="N756" s="18" t="n">
        <v>0.003</v>
      </c>
    </row>
    <row r="757" customFormat="false" ht="15" hidden="false" customHeight="false" outlineLevel="0" collapsed="false">
      <c r="A757" s="12" t="s">
        <v>816</v>
      </c>
      <c r="B757" s="13" t="n">
        <v>45886</v>
      </c>
      <c r="C757" s="12" t="str">
        <f aca="false">TEXT(B757,"yyyy-mm")</f>
        <v>2025-08</v>
      </c>
      <c r="D757" s="12" t="s">
        <v>53</v>
      </c>
      <c r="E757" s="12" t="s">
        <v>54</v>
      </c>
      <c r="F757" s="12" t="s">
        <v>55</v>
      </c>
      <c r="G757" s="14" t="n">
        <v>200</v>
      </c>
      <c r="H757" s="15" t="n">
        <v>16.6</v>
      </c>
      <c r="I757" s="15" t="n">
        <v>16.56</v>
      </c>
      <c r="J757" s="16" t="n">
        <f aca="false">G757*H757</f>
        <v>3320</v>
      </c>
      <c r="K757" s="16" t="n">
        <f aca="false">(H757-I757)*G757</f>
        <v>8.00000000000054</v>
      </c>
      <c r="L757" s="17" t="n">
        <f aca="false">IF(I757=0,0,H757/I757-1)</f>
        <v>0.0024154589371983</v>
      </c>
      <c r="M757" s="14" t="n">
        <v>1</v>
      </c>
      <c r="N757" s="18" t="n">
        <v>0.014</v>
      </c>
    </row>
    <row r="758" customFormat="false" ht="15" hidden="false" customHeight="false" outlineLevel="0" collapsed="false">
      <c r="A758" s="12" t="s">
        <v>817</v>
      </c>
      <c r="B758" s="13" t="n">
        <v>45886</v>
      </c>
      <c r="C758" s="12" t="str">
        <f aca="false">TEXT(B758,"yyyy-mm")</f>
        <v>2025-08</v>
      </c>
      <c r="D758" s="12" t="s">
        <v>58</v>
      </c>
      <c r="E758" s="12" t="s">
        <v>76</v>
      </c>
      <c r="F758" s="12" t="s">
        <v>77</v>
      </c>
      <c r="G758" s="14" t="n">
        <v>600</v>
      </c>
      <c r="H758" s="15" t="n">
        <v>34.34</v>
      </c>
      <c r="I758" s="15" t="n">
        <v>33.75</v>
      </c>
      <c r="J758" s="16" t="n">
        <f aca="false">G758*H758</f>
        <v>20604</v>
      </c>
      <c r="K758" s="16" t="n">
        <f aca="false">(H758-I758)*G758</f>
        <v>354.000000000002</v>
      </c>
      <c r="L758" s="17" t="n">
        <f aca="false">IF(I758=0,0,H758/I758-1)</f>
        <v>0.0174814814814817</v>
      </c>
      <c r="M758" s="14" t="n">
        <v>1</v>
      </c>
      <c r="N758" s="18" t="n">
        <v>0.02</v>
      </c>
    </row>
    <row r="759" customFormat="false" ht="15" hidden="false" customHeight="false" outlineLevel="0" collapsed="false">
      <c r="A759" s="12" t="s">
        <v>818</v>
      </c>
      <c r="B759" s="13" t="n">
        <v>45886</v>
      </c>
      <c r="C759" s="12" t="str">
        <f aca="false">TEXT(B759,"yyyy-mm")</f>
        <v>2025-08</v>
      </c>
      <c r="D759" s="12" t="s">
        <v>53</v>
      </c>
      <c r="E759" s="12" t="s">
        <v>49</v>
      </c>
      <c r="F759" s="12" t="s">
        <v>50</v>
      </c>
      <c r="G759" s="14" t="n">
        <v>2000</v>
      </c>
      <c r="H759" s="15" t="n">
        <v>15.59</v>
      </c>
      <c r="I759" s="15" t="n">
        <v>16.33</v>
      </c>
      <c r="J759" s="16" t="n">
        <f aca="false">G759*H759</f>
        <v>31180</v>
      </c>
      <c r="K759" s="16" t="n">
        <f aca="false">(H759-I759)*G759</f>
        <v>-1480</v>
      </c>
      <c r="L759" s="17" t="n">
        <f aca="false">IF(I759=0,0,H759/I759-1)</f>
        <v>-0.0453153704837721</v>
      </c>
      <c r="M759" s="14" t="n">
        <v>1</v>
      </c>
      <c r="N759" s="18" t="n">
        <v>0.033</v>
      </c>
    </row>
    <row r="760" customFormat="false" ht="15" hidden="false" customHeight="false" outlineLevel="0" collapsed="false">
      <c r="A760" s="12" t="s">
        <v>819</v>
      </c>
      <c r="B760" s="13" t="n">
        <v>45886</v>
      </c>
      <c r="C760" s="12" t="str">
        <f aca="false">TEXT(B760,"yyyy-mm")</f>
        <v>2025-08</v>
      </c>
      <c r="D760" s="12" t="s">
        <v>61</v>
      </c>
      <c r="E760" s="12" t="s">
        <v>36</v>
      </c>
      <c r="F760" s="12" t="s">
        <v>37</v>
      </c>
      <c r="G760" s="14" t="n">
        <v>1000</v>
      </c>
      <c r="H760" s="15" t="n">
        <v>14.62</v>
      </c>
      <c r="I760" s="15" t="n">
        <v>15.06</v>
      </c>
      <c r="J760" s="16" t="n">
        <f aca="false">G760*H760</f>
        <v>14620</v>
      </c>
      <c r="K760" s="16" t="n">
        <f aca="false">(H760-I760)*G760</f>
        <v>-440.000000000001</v>
      </c>
      <c r="L760" s="17" t="n">
        <f aca="false">IF(I760=0,0,H760/I760-1)</f>
        <v>-0.0292164674634795</v>
      </c>
      <c r="M760" s="14" t="n">
        <v>1</v>
      </c>
      <c r="N760" s="18" t="n">
        <v>0.021</v>
      </c>
    </row>
    <row r="761" customFormat="false" ht="15" hidden="false" customHeight="false" outlineLevel="0" collapsed="false">
      <c r="A761" s="12" t="s">
        <v>820</v>
      </c>
      <c r="B761" s="13" t="n">
        <v>45887</v>
      </c>
      <c r="C761" s="12" t="str">
        <f aca="false">TEXT(B761,"yyyy-mm")</f>
        <v>2025-08</v>
      </c>
      <c r="D761" s="12" t="s">
        <v>75</v>
      </c>
      <c r="E761" s="12" t="s">
        <v>40</v>
      </c>
      <c r="F761" s="12" t="s">
        <v>41</v>
      </c>
      <c r="G761" s="14" t="n">
        <v>2000</v>
      </c>
      <c r="H761" s="15" t="n">
        <v>25.96</v>
      </c>
      <c r="I761" s="15" t="n">
        <v>26.27</v>
      </c>
      <c r="J761" s="16" t="n">
        <f aca="false">G761*H761</f>
        <v>51920</v>
      </c>
      <c r="K761" s="16" t="n">
        <f aca="false">(H761-I761)*G761</f>
        <v>-619.999999999998</v>
      </c>
      <c r="L761" s="17" t="n">
        <f aca="false">IF(I761=0,0,H761/I761-1)</f>
        <v>-0.0118005329272934</v>
      </c>
      <c r="M761" s="14" t="n">
        <v>1</v>
      </c>
      <c r="N761" s="18" t="n">
        <v>0.021</v>
      </c>
    </row>
    <row r="762" customFormat="false" ht="15" hidden="false" customHeight="false" outlineLevel="0" collapsed="false">
      <c r="A762" s="12" t="s">
        <v>821</v>
      </c>
      <c r="B762" s="13" t="n">
        <v>45887</v>
      </c>
      <c r="C762" s="12" t="str">
        <f aca="false">TEXT(B762,"yyyy-mm")</f>
        <v>2025-08</v>
      </c>
      <c r="D762" s="12" t="s">
        <v>75</v>
      </c>
      <c r="E762" s="12" t="s">
        <v>40</v>
      </c>
      <c r="F762" s="12" t="s">
        <v>41</v>
      </c>
      <c r="G762" s="14" t="n">
        <v>1000</v>
      </c>
      <c r="H762" s="15" t="n">
        <v>26.84</v>
      </c>
      <c r="I762" s="15" t="n">
        <v>26.33</v>
      </c>
      <c r="J762" s="16" t="n">
        <f aca="false">G762*H762</f>
        <v>26840</v>
      </c>
      <c r="K762" s="16" t="n">
        <f aca="false">(H762-I762)*G762</f>
        <v>510.000000000002</v>
      </c>
      <c r="L762" s="17" t="n">
        <f aca="false">IF(I762=0,0,H762/I762-1)</f>
        <v>0.019369540448158</v>
      </c>
      <c r="M762" s="14" t="n">
        <v>1</v>
      </c>
      <c r="N762" s="18" t="n">
        <v>0.022</v>
      </c>
    </row>
    <row r="763" customFormat="false" ht="15" hidden="false" customHeight="false" outlineLevel="0" collapsed="false">
      <c r="A763" s="12" t="s">
        <v>822</v>
      </c>
      <c r="B763" s="13" t="n">
        <v>45888</v>
      </c>
      <c r="C763" s="12" t="str">
        <f aca="false">TEXT(B763,"yyyy-mm")</f>
        <v>2025-08</v>
      </c>
      <c r="D763" s="12" t="s">
        <v>39</v>
      </c>
      <c r="E763" s="12" t="s">
        <v>40</v>
      </c>
      <c r="F763" s="12" t="s">
        <v>41</v>
      </c>
      <c r="G763" s="14" t="n">
        <v>1000</v>
      </c>
      <c r="H763" s="15" t="n">
        <v>19.33</v>
      </c>
      <c r="I763" s="15" t="n">
        <v>19.54</v>
      </c>
      <c r="J763" s="16" t="n">
        <f aca="false">G763*H763</f>
        <v>19330</v>
      </c>
      <c r="K763" s="16" t="n">
        <f aca="false">(H763-I763)*G763</f>
        <v>-210.000000000001</v>
      </c>
      <c r="L763" s="17" t="n">
        <f aca="false">IF(I763=0,0,H763/I763-1)</f>
        <v>-0.0107471852610032</v>
      </c>
      <c r="M763" s="14" t="n">
        <v>1</v>
      </c>
      <c r="N763" s="18" t="n">
        <v>0.022</v>
      </c>
    </row>
    <row r="764" customFormat="false" ht="15" hidden="false" customHeight="false" outlineLevel="0" collapsed="false">
      <c r="A764" s="12" t="s">
        <v>823</v>
      </c>
      <c r="B764" s="13" t="n">
        <v>45888</v>
      </c>
      <c r="C764" s="12" t="str">
        <f aca="false">TEXT(B764,"yyyy-mm")</f>
        <v>2025-08</v>
      </c>
      <c r="D764" s="12" t="s">
        <v>35</v>
      </c>
      <c r="E764" s="12" t="s">
        <v>36</v>
      </c>
      <c r="F764" s="12" t="s">
        <v>37</v>
      </c>
      <c r="G764" s="14" t="n">
        <v>400</v>
      </c>
      <c r="H764" s="15" t="n">
        <v>16.61</v>
      </c>
      <c r="I764" s="15" t="n">
        <v>17.07</v>
      </c>
      <c r="J764" s="16" t="n">
        <f aca="false">G764*H764</f>
        <v>6644</v>
      </c>
      <c r="K764" s="16" t="n">
        <f aca="false">(H764-I764)*G764</f>
        <v>-184</v>
      </c>
      <c r="L764" s="17" t="n">
        <f aca="false">IF(I764=0,0,H764/I764-1)</f>
        <v>-0.0269478617457528</v>
      </c>
      <c r="M764" s="14" t="n">
        <v>1</v>
      </c>
      <c r="N764" s="18" t="n">
        <v>0.009</v>
      </c>
    </row>
    <row r="765" customFormat="false" ht="15" hidden="false" customHeight="false" outlineLevel="0" collapsed="false">
      <c r="A765" s="12" t="s">
        <v>824</v>
      </c>
      <c r="B765" s="13" t="n">
        <v>45889</v>
      </c>
      <c r="C765" s="12" t="str">
        <f aca="false">TEXT(B765,"yyyy-mm")</f>
        <v>2025-08</v>
      </c>
      <c r="D765" s="12" t="s">
        <v>39</v>
      </c>
      <c r="E765" s="12" t="s">
        <v>40</v>
      </c>
      <c r="F765" s="12" t="s">
        <v>41</v>
      </c>
      <c r="G765" s="14" t="n">
        <v>800</v>
      </c>
      <c r="H765" s="15" t="n">
        <v>19.94</v>
      </c>
      <c r="I765" s="15" t="n">
        <v>19.47</v>
      </c>
      <c r="J765" s="16" t="n">
        <f aca="false">G765*H765</f>
        <v>15952</v>
      </c>
      <c r="K765" s="16" t="n">
        <f aca="false">(H765-I765)*G765</f>
        <v>376.000000000002</v>
      </c>
      <c r="L765" s="17" t="n">
        <f aca="false">IF(I765=0,0,H765/I765-1)</f>
        <v>0.0241397021058039</v>
      </c>
      <c r="M765" s="14" t="n">
        <v>1</v>
      </c>
      <c r="N765" s="18" t="n">
        <v>0.003</v>
      </c>
    </row>
    <row r="766" customFormat="false" ht="15" hidden="false" customHeight="false" outlineLevel="0" collapsed="false">
      <c r="A766" s="12" t="s">
        <v>825</v>
      </c>
      <c r="B766" s="13" t="n">
        <v>45889</v>
      </c>
      <c r="C766" s="12" t="str">
        <f aca="false">TEXT(B766,"yyyy-mm")</f>
        <v>2025-08</v>
      </c>
      <c r="D766" s="12" t="s">
        <v>58</v>
      </c>
      <c r="E766" s="12" t="s">
        <v>59</v>
      </c>
      <c r="F766" s="12" t="s">
        <v>55</v>
      </c>
      <c r="G766" s="14" t="n">
        <v>1200</v>
      </c>
      <c r="H766" s="15" t="n">
        <v>35.55</v>
      </c>
      <c r="I766" s="15" t="n">
        <v>34.52</v>
      </c>
      <c r="J766" s="16" t="n">
        <f aca="false">G766*H766</f>
        <v>42660</v>
      </c>
      <c r="K766" s="16" t="n">
        <f aca="false">(H766-I766)*G766</f>
        <v>1235.99999999999</v>
      </c>
      <c r="L766" s="17" t="n">
        <f aca="false">IF(I766=0,0,H766/I766-1)</f>
        <v>0.0298377752027807</v>
      </c>
      <c r="M766" s="14" t="n">
        <v>1</v>
      </c>
      <c r="N766" s="18" t="n">
        <v>0.029</v>
      </c>
    </row>
    <row r="767" customFormat="false" ht="15" hidden="false" customHeight="false" outlineLevel="0" collapsed="false">
      <c r="A767" s="12" t="s">
        <v>826</v>
      </c>
      <c r="B767" s="13" t="n">
        <v>45889</v>
      </c>
      <c r="C767" s="12" t="str">
        <f aca="false">TEXT(B767,"yyyy-mm")</f>
        <v>2025-08</v>
      </c>
      <c r="D767" s="12" t="s">
        <v>35</v>
      </c>
      <c r="E767" s="12" t="s">
        <v>43</v>
      </c>
      <c r="F767" s="12" t="s">
        <v>44</v>
      </c>
      <c r="G767" s="14" t="n">
        <v>1600</v>
      </c>
      <c r="H767" s="15" t="n">
        <v>17.98</v>
      </c>
      <c r="I767" s="15" t="n">
        <v>17.04</v>
      </c>
      <c r="J767" s="16" t="n">
        <f aca="false">G767*H767</f>
        <v>28768</v>
      </c>
      <c r="K767" s="16" t="n">
        <f aca="false">(H767-I767)*G767</f>
        <v>1504</v>
      </c>
      <c r="L767" s="17" t="n">
        <f aca="false">IF(I767=0,0,H767/I767-1)</f>
        <v>0.0551643192488265</v>
      </c>
      <c r="M767" s="14" t="n">
        <v>1</v>
      </c>
      <c r="N767" s="18" t="n">
        <v>0.015</v>
      </c>
    </row>
    <row r="768" customFormat="false" ht="15" hidden="false" customHeight="false" outlineLevel="0" collapsed="false">
      <c r="A768" s="12" t="s">
        <v>827</v>
      </c>
      <c r="B768" s="13" t="n">
        <v>45890</v>
      </c>
      <c r="C768" s="12" t="str">
        <f aca="false">TEXT(B768,"yyyy-mm")</f>
        <v>2025-08</v>
      </c>
      <c r="D768" s="12" t="s">
        <v>58</v>
      </c>
      <c r="E768" s="12" t="s">
        <v>76</v>
      </c>
      <c r="F768" s="12" t="s">
        <v>77</v>
      </c>
      <c r="G768" s="14" t="n">
        <v>2000</v>
      </c>
      <c r="H768" s="15" t="n">
        <v>36.76</v>
      </c>
      <c r="I768" s="15" t="n">
        <v>35.63</v>
      </c>
      <c r="J768" s="16" t="n">
        <f aca="false">G768*H768</f>
        <v>73520</v>
      </c>
      <c r="K768" s="16" t="n">
        <f aca="false">(H768-I768)*G768</f>
        <v>2259.99999999999</v>
      </c>
      <c r="L768" s="17" t="n">
        <f aca="false">IF(I768=0,0,H768/I768-1)</f>
        <v>0.0317148470390118</v>
      </c>
      <c r="M768" s="14" t="n">
        <v>1</v>
      </c>
      <c r="N768" s="18" t="n">
        <v>0.025</v>
      </c>
    </row>
    <row r="769" customFormat="false" ht="15" hidden="false" customHeight="false" outlineLevel="0" collapsed="false">
      <c r="A769" s="12" t="s">
        <v>828</v>
      </c>
      <c r="B769" s="13" t="n">
        <v>45890</v>
      </c>
      <c r="C769" s="12" t="str">
        <f aca="false">TEXT(B769,"yyyy-mm")</f>
        <v>2025-08</v>
      </c>
      <c r="D769" s="12" t="s">
        <v>53</v>
      </c>
      <c r="E769" s="12" t="s">
        <v>49</v>
      </c>
      <c r="F769" s="12" t="s">
        <v>50</v>
      </c>
      <c r="G769" s="14" t="n">
        <v>600</v>
      </c>
      <c r="H769" s="15" t="n">
        <v>16.39</v>
      </c>
      <c r="I769" s="15" t="n">
        <v>16.83</v>
      </c>
      <c r="J769" s="16" t="n">
        <f aca="false">G769*H769</f>
        <v>9834</v>
      </c>
      <c r="K769" s="16" t="n">
        <f aca="false">(H769-I769)*G769</f>
        <v>-263.999999999999</v>
      </c>
      <c r="L769" s="17" t="n">
        <f aca="false">IF(I769=0,0,H769/I769-1)</f>
        <v>-0.0261437908496731</v>
      </c>
      <c r="M769" s="14" t="n">
        <v>1</v>
      </c>
      <c r="N769" s="18" t="n">
        <v>0.018</v>
      </c>
    </row>
    <row r="770" customFormat="false" ht="15" hidden="false" customHeight="false" outlineLevel="0" collapsed="false">
      <c r="A770" s="12" t="s">
        <v>829</v>
      </c>
      <c r="B770" s="13" t="n">
        <v>45890</v>
      </c>
      <c r="C770" s="12" t="str">
        <f aca="false">TEXT(B770,"yyyy-mm")</f>
        <v>2025-08</v>
      </c>
      <c r="D770" s="12" t="s">
        <v>53</v>
      </c>
      <c r="E770" s="12" t="s">
        <v>49</v>
      </c>
      <c r="F770" s="12" t="s">
        <v>50</v>
      </c>
      <c r="G770" s="14" t="n">
        <v>600</v>
      </c>
      <c r="H770" s="15" t="n">
        <v>17.21</v>
      </c>
      <c r="I770" s="15" t="n">
        <v>17</v>
      </c>
      <c r="J770" s="16" t="n">
        <f aca="false">G770*H770</f>
        <v>10326</v>
      </c>
      <c r="K770" s="16" t="n">
        <f aca="false">(H770-I770)*G770</f>
        <v>126.000000000001</v>
      </c>
      <c r="L770" s="17" t="n">
        <f aca="false">IF(I770=0,0,H770/I770-1)</f>
        <v>0.0123529411764707</v>
      </c>
      <c r="M770" s="14" t="n">
        <v>1</v>
      </c>
      <c r="N770" s="18" t="n">
        <v>0.03</v>
      </c>
    </row>
    <row r="771" customFormat="false" ht="15" hidden="false" customHeight="false" outlineLevel="0" collapsed="false">
      <c r="A771" s="12" t="s">
        <v>830</v>
      </c>
      <c r="B771" s="13" t="n">
        <v>45891</v>
      </c>
      <c r="C771" s="12" t="str">
        <f aca="false">TEXT(B771,"yyyy-mm")</f>
        <v>2025-08</v>
      </c>
      <c r="D771" s="12" t="s">
        <v>53</v>
      </c>
      <c r="E771" s="12" t="s">
        <v>49</v>
      </c>
      <c r="F771" s="12" t="s">
        <v>50</v>
      </c>
      <c r="G771" s="14" t="n">
        <v>400</v>
      </c>
      <c r="H771" s="15" t="n">
        <v>16.88</v>
      </c>
      <c r="I771" s="15" t="n">
        <v>16.85</v>
      </c>
      <c r="J771" s="16" t="n">
        <f aca="false">G771*H771</f>
        <v>6752</v>
      </c>
      <c r="K771" s="16" t="n">
        <f aca="false">(H771-I771)*G771</f>
        <v>11.999999999999</v>
      </c>
      <c r="L771" s="17" t="n">
        <f aca="false">IF(I771=0,0,H771/I771-1)</f>
        <v>0.00178041543026697</v>
      </c>
      <c r="M771" s="14" t="n">
        <v>1</v>
      </c>
      <c r="N771" s="18" t="n">
        <v>0.014</v>
      </c>
    </row>
    <row r="772" customFormat="false" ht="15" hidden="false" customHeight="false" outlineLevel="0" collapsed="false">
      <c r="A772" s="12" t="s">
        <v>831</v>
      </c>
      <c r="B772" s="13" t="n">
        <v>45891</v>
      </c>
      <c r="C772" s="12" t="str">
        <f aca="false">TEXT(B772,"yyyy-mm")</f>
        <v>2025-08</v>
      </c>
      <c r="D772" s="12" t="s">
        <v>61</v>
      </c>
      <c r="E772" s="12" t="s">
        <v>43</v>
      </c>
      <c r="F772" s="12" t="s">
        <v>44</v>
      </c>
      <c r="G772" s="14" t="n">
        <v>2000</v>
      </c>
      <c r="H772" s="15" t="n">
        <v>15</v>
      </c>
      <c r="I772" s="15" t="n">
        <v>14.49</v>
      </c>
      <c r="J772" s="16" t="n">
        <f aca="false">G772*H772</f>
        <v>30000</v>
      </c>
      <c r="K772" s="16" t="n">
        <f aca="false">(H772-I772)*G772</f>
        <v>1020</v>
      </c>
      <c r="L772" s="17" t="n">
        <f aca="false">IF(I772=0,0,H772/I772-1)</f>
        <v>0.0351966873706004</v>
      </c>
      <c r="M772" s="14" t="n">
        <v>1</v>
      </c>
      <c r="N772" s="18" t="n">
        <v>0.012</v>
      </c>
    </row>
    <row r="773" customFormat="false" ht="15" hidden="false" customHeight="false" outlineLevel="0" collapsed="false">
      <c r="A773" s="12" t="s">
        <v>832</v>
      </c>
      <c r="B773" s="13" t="n">
        <v>45891</v>
      </c>
      <c r="C773" s="12" t="str">
        <f aca="false">TEXT(B773,"yyyy-mm")</f>
        <v>2025-08</v>
      </c>
      <c r="D773" s="12" t="s">
        <v>39</v>
      </c>
      <c r="E773" s="12" t="s">
        <v>40</v>
      </c>
      <c r="F773" s="12" t="s">
        <v>41</v>
      </c>
      <c r="G773" s="14" t="n">
        <v>2000</v>
      </c>
      <c r="H773" s="15" t="n">
        <v>20.36</v>
      </c>
      <c r="I773" s="15" t="n">
        <v>19.49</v>
      </c>
      <c r="J773" s="16" t="n">
        <f aca="false">G773*H773</f>
        <v>40720</v>
      </c>
      <c r="K773" s="16" t="n">
        <f aca="false">(H773-I773)*G773</f>
        <v>1740</v>
      </c>
      <c r="L773" s="17" t="n">
        <f aca="false">IF(I773=0,0,H773/I773-1)</f>
        <v>0.0446382760389945</v>
      </c>
      <c r="M773" s="14" t="n">
        <v>1</v>
      </c>
      <c r="N773" s="18" t="n">
        <v>0.015</v>
      </c>
    </row>
    <row r="774" customFormat="false" ht="15" hidden="false" customHeight="false" outlineLevel="0" collapsed="false">
      <c r="A774" s="12" t="s">
        <v>833</v>
      </c>
      <c r="B774" s="13" t="n">
        <v>45891</v>
      </c>
      <c r="C774" s="12" t="str">
        <f aca="false">TEXT(B774,"yyyy-mm")</f>
        <v>2025-08</v>
      </c>
      <c r="D774" s="12" t="s">
        <v>58</v>
      </c>
      <c r="E774" s="12" t="s">
        <v>59</v>
      </c>
      <c r="F774" s="12" t="s">
        <v>55</v>
      </c>
      <c r="G774" s="14" t="n">
        <v>2000</v>
      </c>
      <c r="H774" s="15" t="n">
        <v>36.76</v>
      </c>
      <c r="I774" s="15" t="n">
        <v>34.95</v>
      </c>
      <c r="J774" s="16" t="n">
        <f aca="false">G774*H774</f>
        <v>73520</v>
      </c>
      <c r="K774" s="16" t="n">
        <f aca="false">(H774-I774)*G774</f>
        <v>3619.99999999999</v>
      </c>
      <c r="L774" s="17" t="n">
        <f aca="false">IF(I774=0,0,H774/I774-1)</f>
        <v>0.0517882689556508</v>
      </c>
      <c r="M774" s="14" t="n">
        <v>1</v>
      </c>
      <c r="N774" s="18" t="n">
        <v>0.023</v>
      </c>
    </row>
    <row r="775" customFormat="false" ht="15" hidden="false" customHeight="false" outlineLevel="0" collapsed="false">
      <c r="A775" s="12" t="s">
        <v>834</v>
      </c>
      <c r="B775" s="13" t="n">
        <v>45891</v>
      </c>
      <c r="C775" s="12" t="str">
        <f aca="false">TEXT(B775,"yyyy-mm")</f>
        <v>2025-08</v>
      </c>
      <c r="D775" s="12" t="s">
        <v>61</v>
      </c>
      <c r="E775" s="12" t="s">
        <v>43</v>
      </c>
      <c r="F775" s="12" t="s">
        <v>44</v>
      </c>
      <c r="G775" s="14" t="n">
        <v>1200</v>
      </c>
      <c r="H775" s="15" t="n">
        <v>15.51</v>
      </c>
      <c r="I775" s="15" t="n">
        <v>14.92</v>
      </c>
      <c r="J775" s="16" t="n">
        <f aca="false">G775*H775</f>
        <v>18612</v>
      </c>
      <c r="K775" s="16" t="n">
        <f aca="false">(H775-I775)*G775</f>
        <v>708</v>
      </c>
      <c r="L775" s="17" t="n">
        <f aca="false">IF(I775=0,0,H775/I775-1)</f>
        <v>0.039544235924933</v>
      </c>
      <c r="M775" s="14" t="n">
        <v>1</v>
      </c>
      <c r="N775" s="18" t="n">
        <v>0.01</v>
      </c>
    </row>
    <row r="776" customFormat="false" ht="15" hidden="false" customHeight="false" outlineLevel="0" collapsed="false">
      <c r="A776" s="12" t="s">
        <v>835</v>
      </c>
      <c r="B776" s="13" t="n">
        <v>45892</v>
      </c>
      <c r="C776" s="12" t="str">
        <f aca="false">TEXT(B776,"yyyy-mm")</f>
        <v>2025-08</v>
      </c>
      <c r="D776" s="12" t="s">
        <v>111</v>
      </c>
      <c r="E776" s="12" t="s">
        <v>92</v>
      </c>
      <c r="F776" s="12" t="s">
        <v>93</v>
      </c>
      <c r="G776" s="14" t="n">
        <v>1600</v>
      </c>
      <c r="H776" s="15" t="n">
        <v>20.35</v>
      </c>
      <c r="I776" s="15" t="n">
        <v>21.08</v>
      </c>
      <c r="J776" s="16" t="n">
        <f aca="false">G776*H776</f>
        <v>32560</v>
      </c>
      <c r="K776" s="16" t="n">
        <f aca="false">(H776-I776)*G776</f>
        <v>-1168</v>
      </c>
      <c r="L776" s="17" t="n">
        <f aca="false">IF(I776=0,0,H776/I776-1)</f>
        <v>-0.0346299810246677</v>
      </c>
      <c r="M776" s="14" t="n">
        <v>1</v>
      </c>
      <c r="N776" s="18" t="n">
        <v>0.036</v>
      </c>
    </row>
    <row r="777" customFormat="false" ht="15" hidden="false" customHeight="false" outlineLevel="0" collapsed="false">
      <c r="A777" s="12" t="s">
        <v>836</v>
      </c>
      <c r="B777" s="13" t="n">
        <v>45892</v>
      </c>
      <c r="C777" s="12" t="str">
        <f aca="false">TEXT(B777,"yyyy-mm")</f>
        <v>2025-08</v>
      </c>
      <c r="D777" s="12" t="s">
        <v>39</v>
      </c>
      <c r="E777" s="12" t="s">
        <v>46</v>
      </c>
      <c r="F777" s="12" t="s">
        <v>47</v>
      </c>
      <c r="G777" s="14" t="n">
        <v>800</v>
      </c>
      <c r="H777" s="15" t="n">
        <v>19.65</v>
      </c>
      <c r="I777" s="15" t="n">
        <v>19.28</v>
      </c>
      <c r="J777" s="16" t="n">
        <f aca="false">G777*H777</f>
        <v>15720</v>
      </c>
      <c r="K777" s="16" t="n">
        <f aca="false">(H777-I777)*G777</f>
        <v>295.999999999998</v>
      </c>
      <c r="L777" s="17" t="n">
        <f aca="false">IF(I777=0,0,H777/I777-1)</f>
        <v>0.0191908713692945</v>
      </c>
      <c r="M777" s="14" t="n">
        <v>1</v>
      </c>
      <c r="N777" s="18" t="n">
        <v>0.009</v>
      </c>
    </row>
    <row r="778" customFormat="false" ht="15" hidden="false" customHeight="false" outlineLevel="0" collapsed="false">
      <c r="A778" s="12" t="s">
        <v>837</v>
      </c>
      <c r="B778" s="13" t="n">
        <v>45893</v>
      </c>
      <c r="C778" s="12" t="str">
        <f aca="false">TEXT(B778,"yyyy-mm")</f>
        <v>2025-08</v>
      </c>
      <c r="D778" s="12" t="s">
        <v>111</v>
      </c>
      <c r="E778" s="12" t="s">
        <v>76</v>
      </c>
      <c r="F778" s="12" t="s">
        <v>77</v>
      </c>
      <c r="G778" s="14" t="n">
        <v>200</v>
      </c>
      <c r="H778" s="15" t="n">
        <v>20.77</v>
      </c>
      <c r="I778" s="15" t="n">
        <v>21.21</v>
      </c>
      <c r="J778" s="16" t="n">
        <f aca="false">G778*H778</f>
        <v>4154</v>
      </c>
      <c r="K778" s="16" t="n">
        <f aca="false">(H778-I778)*G778</f>
        <v>-88.0000000000003</v>
      </c>
      <c r="L778" s="17" t="n">
        <f aca="false">IF(I778=0,0,H778/I778-1)</f>
        <v>-0.0207449316360208</v>
      </c>
      <c r="M778" s="14" t="n">
        <v>1</v>
      </c>
      <c r="N778" s="18" t="n">
        <v>0.03</v>
      </c>
    </row>
    <row r="779" customFormat="false" ht="15" hidden="false" customHeight="false" outlineLevel="0" collapsed="false">
      <c r="A779" s="12" t="s">
        <v>838</v>
      </c>
      <c r="B779" s="13" t="n">
        <v>45893</v>
      </c>
      <c r="C779" s="12" t="str">
        <f aca="false">TEXT(B779,"yyyy-mm")</f>
        <v>2025-08</v>
      </c>
      <c r="D779" s="12" t="s">
        <v>80</v>
      </c>
      <c r="E779" s="12" t="s">
        <v>76</v>
      </c>
      <c r="F779" s="12" t="s">
        <v>77</v>
      </c>
      <c r="G779" s="14" t="n">
        <v>600</v>
      </c>
      <c r="H779" s="15" t="n">
        <v>24.36</v>
      </c>
      <c r="I779" s="15" t="n">
        <v>24.42</v>
      </c>
      <c r="J779" s="16" t="n">
        <f aca="false">G779*H779</f>
        <v>14616</v>
      </c>
      <c r="K779" s="16" t="n">
        <f aca="false">(H779-I779)*G779</f>
        <v>-36.0000000000014</v>
      </c>
      <c r="L779" s="17" t="n">
        <f aca="false">IF(I779=0,0,H779/I779-1)</f>
        <v>-0.00245700245700253</v>
      </c>
      <c r="M779" s="14" t="n">
        <v>1</v>
      </c>
      <c r="N779" s="18" t="n">
        <v>0.027</v>
      </c>
    </row>
    <row r="780" customFormat="false" ht="15" hidden="false" customHeight="false" outlineLevel="0" collapsed="false">
      <c r="A780" s="12" t="s">
        <v>839</v>
      </c>
      <c r="B780" s="13" t="n">
        <v>45893</v>
      </c>
      <c r="C780" s="12" t="str">
        <f aca="false">TEXT(B780,"yyyy-mm")</f>
        <v>2025-08</v>
      </c>
      <c r="D780" s="12" t="s">
        <v>39</v>
      </c>
      <c r="E780" s="12" t="s">
        <v>46</v>
      </c>
      <c r="F780" s="12" t="s">
        <v>47</v>
      </c>
      <c r="G780" s="14" t="n">
        <v>1600</v>
      </c>
      <c r="H780" s="15" t="n">
        <v>20.52</v>
      </c>
      <c r="I780" s="15" t="n">
        <v>19.17</v>
      </c>
      <c r="J780" s="16" t="n">
        <f aca="false">G780*H780</f>
        <v>32832</v>
      </c>
      <c r="K780" s="16" t="n">
        <f aca="false">(H780-I780)*G780</f>
        <v>2160</v>
      </c>
      <c r="L780" s="17" t="n">
        <f aca="false">IF(I780=0,0,H780/I780-1)</f>
        <v>0.0704225352112675</v>
      </c>
      <c r="M780" s="14" t="n">
        <v>1</v>
      </c>
      <c r="N780" s="18" t="n">
        <v>0.008</v>
      </c>
    </row>
    <row r="781" customFormat="false" ht="15" hidden="false" customHeight="false" outlineLevel="0" collapsed="false">
      <c r="A781" s="12" t="s">
        <v>840</v>
      </c>
      <c r="B781" s="13" t="n">
        <v>45893</v>
      </c>
      <c r="C781" s="12" t="str">
        <f aca="false">TEXT(B781,"yyyy-mm")</f>
        <v>2025-08</v>
      </c>
      <c r="D781" s="12" t="s">
        <v>58</v>
      </c>
      <c r="E781" s="12" t="s">
        <v>76</v>
      </c>
      <c r="F781" s="12" t="s">
        <v>77</v>
      </c>
      <c r="G781" s="14" t="n">
        <v>400</v>
      </c>
      <c r="H781" s="15" t="n">
        <v>33.37</v>
      </c>
      <c r="I781" s="15" t="n">
        <v>33.86</v>
      </c>
      <c r="J781" s="16" t="n">
        <f aca="false">G781*H781</f>
        <v>13348</v>
      </c>
      <c r="K781" s="16" t="n">
        <f aca="false">(H781-I781)*G781</f>
        <v>-196.000000000001</v>
      </c>
      <c r="L781" s="17" t="n">
        <f aca="false">IF(I781=0,0,H781/I781-1)</f>
        <v>-0.0144713526284702</v>
      </c>
      <c r="M781" s="14" t="n">
        <v>1</v>
      </c>
      <c r="N781" s="18" t="n">
        <v>0.034</v>
      </c>
    </row>
    <row r="782" customFormat="false" ht="15" hidden="false" customHeight="false" outlineLevel="0" collapsed="false">
      <c r="A782" s="12" t="s">
        <v>841</v>
      </c>
      <c r="B782" s="13" t="n">
        <v>45893</v>
      </c>
      <c r="C782" s="12" t="str">
        <f aca="false">TEXT(B782,"yyyy-mm")</f>
        <v>2025-08</v>
      </c>
      <c r="D782" s="12" t="s">
        <v>80</v>
      </c>
      <c r="E782" s="12" t="s">
        <v>81</v>
      </c>
      <c r="F782" s="12" t="s">
        <v>82</v>
      </c>
      <c r="G782" s="14" t="n">
        <v>1200</v>
      </c>
      <c r="H782" s="15" t="n">
        <v>23</v>
      </c>
      <c r="I782" s="15" t="n">
        <v>23.91</v>
      </c>
      <c r="J782" s="16" t="n">
        <f aca="false">G782*H782</f>
        <v>27600</v>
      </c>
      <c r="K782" s="16" t="n">
        <f aca="false">(H782-I782)*G782</f>
        <v>-1092</v>
      </c>
      <c r="L782" s="17" t="n">
        <f aca="false">IF(I782=0,0,H782/I782-1)</f>
        <v>-0.0380593893768297</v>
      </c>
      <c r="M782" s="14" t="n">
        <v>1</v>
      </c>
      <c r="N782" s="18" t="n">
        <v>0.047</v>
      </c>
    </row>
    <row r="783" customFormat="false" ht="15" hidden="false" customHeight="false" outlineLevel="0" collapsed="false">
      <c r="A783" s="12" t="s">
        <v>842</v>
      </c>
      <c r="B783" s="13" t="n">
        <v>45893</v>
      </c>
      <c r="C783" s="12" t="str">
        <f aca="false">TEXT(B783,"yyyy-mm")</f>
        <v>2025-08</v>
      </c>
      <c r="D783" s="12" t="s">
        <v>80</v>
      </c>
      <c r="E783" s="12" t="s">
        <v>76</v>
      </c>
      <c r="F783" s="12" t="s">
        <v>77</v>
      </c>
      <c r="G783" s="14" t="n">
        <v>400</v>
      </c>
      <c r="H783" s="15" t="n">
        <v>23.47</v>
      </c>
      <c r="I783" s="15" t="n">
        <v>23.95</v>
      </c>
      <c r="J783" s="16" t="n">
        <f aca="false">G783*H783</f>
        <v>9388</v>
      </c>
      <c r="K783" s="16" t="n">
        <f aca="false">(H783-I783)*G783</f>
        <v>-192</v>
      </c>
      <c r="L783" s="17" t="n">
        <f aca="false">IF(I783=0,0,H783/I783-1)</f>
        <v>-0.0200417536534447</v>
      </c>
      <c r="M783" s="14" t="n">
        <v>1</v>
      </c>
      <c r="N783" s="18" t="n">
        <v>0.012</v>
      </c>
    </row>
    <row r="784" customFormat="false" ht="15" hidden="false" customHeight="false" outlineLevel="0" collapsed="false">
      <c r="A784" s="12" t="s">
        <v>843</v>
      </c>
      <c r="B784" s="13" t="n">
        <v>45893</v>
      </c>
      <c r="C784" s="12" t="str">
        <f aca="false">TEXT(B784,"yyyy-mm")</f>
        <v>2025-08</v>
      </c>
      <c r="D784" s="12" t="s">
        <v>35</v>
      </c>
      <c r="E784" s="12" t="s">
        <v>43</v>
      </c>
      <c r="F784" s="12" t="s">
        <v>44</v>
      </c>
      <c r="G784" s="14" t="n">
        <v>800</v>
      </c>
      <c r="H784" s="15" t="n">
        <v>17.71</v>
      </c>
      <c r="I784" s="15" t="n">
        <v>17.27</v>
      </c>
      <c r="J784" s="16" t="n">
        <f aca="false">G784*H784</f>
        <v>14168</v>
      </c>
      <c r="K784" s="16" t="n">
        <f aca="false">(H784-I784)*G784</f>
        <v>352.000000000001</v>
      </c>
      <c r="L784" s="17" t="n">
        <f aca="false">IF(I784=0,0,H784/I784-1)</f>
        <v>0.0254777070063694</v>
      </c>
      <c r="M784" s="14" t="n">
        <v>1</v>
      </c>
      <c r="N784" s="18" t="n">
        <v>0.007</v>
      </c>
    </row>
    <row r="785" customFormat="false" ht="15" hidden="false" customHeight="false" outlineLevel="0" collapsed="false">
      <c r="A785" s="12" t="s">
        <v>844</v>
      </c>
      <c r="B785" s="13" t="n">
        <v>45894</v>
      </c>
      <c r="C785" s="12" t="str">
        <f aca="false">TEXT(B785,"yyyy-mm")</f>
        <v>2025-08</v>
      </c>
      <c r="D785" s="12" t="s">
        <v>39</v>
      </c>
      <c r="E785" s="12" t="s">
        <v>40</v>
      </c>
      <c r="F785" s="12" t="s">
        <v>41</v>
      </c>
      <c r="G785" s="14" t="n">
        <v>400</v>
      </c>
      <c r="H785" s="15" t="n">
        <v>18.86</v>
      </c>
      <c r="I785" s="15" t="n">
        <v>19.07</v>
      </c>
      <c r="J785" s="16" t="n">
        <f aca="false">G785*H785</f>
        <v>7544</v>
      </c>
      <c r="K785" s="16" t="n">
        <f aca="false">(H785-I785)*G785</f>
        <v>-84.0000000000003</v>
      </c>
      <c r="L785" s="17" t="n">
        <f aca="false">IF(I785=0,0,H785/I785-1)</f>
        <v>-0.0110120608285266</v>
      </c>
      <c r="M785" s="14" t="n">
        <v>1</v>
      </c>
      <c r="N785" s="18" t="n">
        <v>0.015</v>
      </c>
    </row>
    <row r="786" customFormat="false" ht="15" hidden="false" customHeight="false" outlineLevel="0" collapsed="false">
      <c r="A786" s="12" t="s">
        <v>845</v>
      </c>
      <c r="B786" s="13" t="n">
        <v>45894</v>
      </c>
      <c r="C786" s="12" t="str">
        <f aca="false">TEXT(B786,"yyyy-mm")</f>
        <v>2025-08</v>
      </c>
      <c r="D786" s="12" t="s">
        <v>61</v>
      </c>
      <c r="E786" s="12" t="s">
        <v>43</v>
      </c>
      <c r="F786" s="12" t="s">
        <v>44</v>
      </c>
      <c r="G786" s="14" t="n">
        <v>2000</v>
      </c>
      <c r="H786" s="15" t="n">
        <v>15.44</v>
      </c>
      <c r="I786" s="15" t="n">
        <v>14.98</v>
      </c>
      <c r="J786" s="16" t="n">
        <f aca="false">G786*H786</f>
        <v>30880</v>
      </c>
      <c r="K786" s="16" t="n">
        <f aca="false">(H786-I786)*G786</f>
        <v>919.999999999998</v>
      </c>
      <c r="L786" s="17" t="n">
        <f aca="false">IF(I786=0,0,H786/I786-1)</f>
        <v>0.0307076101468624</v>
      </c>
      <c r="M786" s="14" t="n">
        <v>1</v>
      </c>
      <c r="N786" s="18" t="n">
        <v>0.018</v>
      </c>
    </row>
    <row r="787" customFormat="false" ht="15" hidden="false" customHeight="false" outlineLevel="0" collapsed="false">
      <c r="A787" s="12" t="s">
        <v>846</v>
      </c>
      <c r="B787" s="13" t="n">
        <v>45894</v>
      </c>
      <c r="C787" s="12" t="str">
        <f aca="false">TEXT(B787,"yyyy-mm")</f>
        <v>2025-08</v>
      </c>
      <c r="D787" s="12" t="s">
        <v>39</v>
      </c>
      <c r="E787" s="12" t="s">
        <v>40</v>
      </c>
      <c r="F787" s="12" t="s">
        <v>41</v>
      </c>
      <c r="G787" s="14" t="n">
        <v>800</v>
      </c>
      <c r="H787" s="15" t="n">
        <v>20.54</v>
      </c>
      <c r="I787" s="15" t="n">
        <v>19.73</v>
      </c>
      <c r="J787" s="16" t="n">
        <f aca="false">G787*H787</f>
        <v>16432</v>
      </c>
      <c r="K787" s="16" t="n">
        <f aca="false">(H787-I787)*G787</f>
        <v>647.999999999999</v>
      </c>
      <c r="L787" s="17" t="n">
        <f aca="false">IF(I787=0,0,H787/I787-1)</f>
        <v>0.0410542321338063</v>
      </c>
      <c r="M787" s="14" t="n">
        <v>1</v>
      </c>
      <c r="N787" s="18" t="n">
        <v>0.017</v>
      </c>
    </row>
    <row r="788" customFormat="false" ht="15" hidden="false" customHeight="false" outlineLevel="0" collapsed="false">
      <c r="A788" s="12" t="s">
        <v>847</v>
      </c>
      <c r="B788" s="13" t="n">
        <v>45894</v>
      </c>
      <c r="C788" s="12" t="str">
        <f aca="false">TEXT(B788,"yyyy-mm")</f>
        <v>2025-08</v>
      </c>
      <c r="D788" s="12" t="s">
        <v>58</v>
      </c>
      <c r="E788" s="12" t="s">
        <v>59</v>
      </c>
      <c r="F788" s="12" t="s">
        <v>55</v>
      </c>
      <c r="G788" s="14" t="n">
        <v>2000</v>
      </c>
      <c r="H788" s="15" t="n">
        <v>36.73</v>
      </c>
      <c r="I788" s="15" t="n">
        <v>34.94</v>
      </c>
      <c r="J788" s="16" t="n">
        <f aca="false">G788*H788</f>
        <v>73460</v>
      </c>
      <c r="K788" s="16" t="n">
        <f aca="false">(H788-I788)*G788</f>
        <v>3580</v>
      </c>
      <c r="L788" s="17" t="n">
        <f aca="false">IF(I788=0,0,H788/I788-1)</f>
        <v>0.0512306811677161</v>
      </c>
      <c r="M788" s="14" t="n">
        <v>0</v>
      </c>
      <c r="N788" s="18" t="n">
        <v>0.029</v>
      </c>
    </row>
    <row r="789" customFormat="false" ht="15" hidden="false" customHeight="false" outlineLevel="0" collapsed="false">
      <c r="A789" s="12" t="s">
        <v>848</v>
      </c>
      <c r="B789" s="13" t="n">
        <v>45894</v>
      </c>
      <c r="C789" s="12" t="str">
        <f aca="false">TEXT(B789,"yyyy-mm")</f>
        <v>2025-08</v>
      </c>
      <c r="D789" s="12" t="s">
        <v>39</v>
      </c>
      <c r="E789" s="12" t="s">
        <v>46</v>
      </c>
      <c r="F789" s="12" t="s">
        <v>47</v>
      </c>
      <c r="G789" s="14" t="n">
        <v>600</v>
      </c>
      <c r="H789" s="15" t="n">
        <v>20.49</v>
      </c>
      <c r="I789" s="15" t="n">
        <v>19.51</v>
      </c>
      <c r="J789" s="16" t="n">
        <f aca="false">G789*H789</f>
        <v>12294</v>
      </c>
      <c r="K789" s="16" t="n">
        <f aca="false">(H789-I789)*G789</f>
        <v>587.999999999998</v>
      </c>
      <c r="L789" s="17" t="n">
        <f aca="false">IF(I789=0,0,H789/I789-1)</f>
        <v>0.0502306509482315</v>
      </c>
      <c r="M789" s="14" t="n">
        <v>1</v>
      </c>
      <c r="N789" s="18" t="n">
        <v>0.005</v>
      </c>
    </row>
    <row r="790" customFormat="false" ht="15" hidden="false" customHeight="false" outlineLevel="0" collapsed="false">
      <c r="A790" s="12" t="s">
        <v>849</v>
      </c>
      <c r="B790" s="13" t="n">
        <v>45894</v>
      </c>
      <c r="C790" s="12" t="str">
        <f aca="false">TEXT(B790,"yyyy-mm")</f>
        <v>2025-08</v>
      </c>
      <c r="D790" s="12" t="s">
        <v>39</v>
      </c>
      <c r="E790" s="12" t="s">
        <v>40</v>
      </c>
      <c r="F790" s="12" t="s">
        <v>41</v>
      </c>
      <c r="G790" s="14" t="n">
        <v>200</v>
      </c>
      <c r="H790" s="15" t="n">
        <v>19.71</v>
      </c>
      <c r="I790" s="15" t="n">
        <v>19.42</v>
      </c>
      <c r="J790" s="16" t="n">
        <f aca="false">G790*H790</f>
        <v>3942</v>
      </c>
      <c r="K790" s="16" t="n">
        <f aca="false">(H790-I790)*G790</f>
        <v>57.9999999999998</v>
      </c>
      <c r="L790" s="17" t="n">
        <f aca="false">IF(I790=0,0,H790/I790-1)</f>
        <v>0.0149330587023686</v>
      </c>
      <c r="M790" s="14" t="n">
        <v>1</v>
      </c>
      <c r="N790" s="18" t="n">
        <v>0.024</v>
      </c>
    </row>
    <row r="791" customFormat="false" ht="15" hidden="false" customHeight="false" outlineLevel="0" collapsed="false">
      <c r="A791" s="12" t="s">
        <v>850</v>
      </c>
      <c r="B791" s="13" t="n">
        <v>45894</v>
      </c>
      <c r="C791" s="12" t="str">
        <f aca="false">TEXT(B791,"yyyy-mm")</f>
        <v>2025-08</v>
      </c>
      <c r="D791" s="12" t="s">
        <v>61</v>
      </c>
      <c r="E791" s="12" t="s">
        <v>36</v>
      </c>
      <c r="F791" s="12" t="s">
        <v>37</v>
      </c>
      <c r="G791" s="14" t="n">
        <v>1000</v>
      </c>
      <c r="H791" s="15" t="n">
        <v>15.03</v>
      </c>
      <c r="I791" s="15" t="n">
        <v>14.78</v>
      </c>
      <c r="J791" s="16" t="n">
        <f aca="false">G791*H791</f>
        <v>15030</v>
      </c>
      <c r="K791" s="16" t="n">
        <f aca="false">(H791-I791)*G791</f>
        <v>250</v>
      </c>
      <c r="L791" s="17" t="n">
        <f aca="false">IF(I791=0,0,H791/I791-1)</f>
        <v>0.016914749661705</v>
      </c>
      <c r="M791" s="14" t="n">
        <v>0</v>
      </c>
      <c r="N791" s="18" t="n">
        <v>0.014</v>
      </c>
    </row>
    <row r="792" customFormat="false" ht="15" hidden="false" customHeight="false" outlineLevel="0" collapsed="false">
      <c r="A792" s="12" t="s">
        <v>851</v>
      </c>
      <c r="B792" s="13" t="n">
        <v>45895</v>
      </c>
      <c r="C792" s="12" t="str">
        <f aca="false">TEXT(B792,"yyyy-mm")</f>
        <v>2025-08</v>
      </c>
      <c r="D792" s="12" t="s">
        <v>61</v>
      </c>
      <c r="E792" s="12" t="s">
        <v>43</v>
      </c>
      <c r="F792" s="12" t="s">
        <v>44</v>
      </c>
      <c r="G792" s="14" t="n">
        <v>600</v>
      </c>
      <c r="H792" s="15" t="n">
        <v>15.71</v>
      </c>
      <c r="I792" s="15" t="n">
        <v>14.72</v>
      </c>
      <c r="J792" s="16" t="n">
        <f aca="false">G792*H792</f>
        <v>9426</v>
      </c>
      <c r="K792" s="16" t="n">
        <f aca="false">(H792-I792)*G792</f>
        <v>594</v>
      </c>
      <c r="L792" s="17" t="n">
        <f aca="false">IF(I792=0,0,H792/I792-1)</f>
        <v>0.0672554347826087</v>
      </c>
      <c r="M792" s="14" t="n">
        <v>1</v>
      </c>
      <c r="N792" s="18" t="n">
        <v>0.011</v>
      </c>
    </row>
    <row r="793" customFormat="false" ht="15" hidden="false" customHeight="false" outlineLevel="0" collapsed="false">
      <c r="A793" s="12" t="s">
        <v>852</v>
      </c>
      <c r="B793" s="13" t="n">
        <v>45895</v>
      </c>
      <c r="C793" s="12" t="str">
        <f aca="false">TEXT(B793,"yyyy-mm")</f>
        <v>2025-08</v>
      </c>
      <c r="D793" s="12" t="s">
        <v>35</v>
      </c>
      <c r="E793" s="12" t="s">
        <v>43</v>
      </c>
      <c r="F793" s="12" t="s">
        <v>44</v>
      </c>
      <c r="G793" s="14" t="n">
        <v>2000</v>
      </c>
      <c r="H793" s="15" t="n">
        <v>17.47</v>
      </c>
      <c r="I793" s="15" t="n">
        <v>16.4</v>
      </c>
      <c r="J793" s="16" t="n">
        <f aca="false">G793*H793</f>
        <v>34940</v>
      </c>
      <c r="K793" s="16" t="n">
        <f aca="false">(H793-I793)*G793</f>
        <v>2140</v>
      </c>
      <c r="L793" s="17" t="n">
        <f aca="false">IF(I793=0,0,H793/I793-1)</f>
        <v>0.0652439024390243</v>
      </c>
      <c r="M793" s="14" t="n">
        <v>1</v>
      </c>
      <c r="N793" s="18" t="n">
        <v>0.016</v>
      </c>
    </row>
    <row r="794" customFormat="false" ht="15" hidden="false" customHeight="false" outlineLevel="0" collapsed="false">
      <c r="A794" s="12" t="s">
        <v>853</v>
      </c>
      <c r="B794" s="13" t="n">
        <v>45895</v>
      </c>
      <c r="C794" s="12" t="str">
        <f aca="false">TEXT(B794,"yyyy-mm")</f>
        <v>2025-08</v>
      </c>
      <c r="D794" s="12" t="s">
        <v>61</v>
      </c>
      <c r="E794" s="12" t="s">
        <v>36</v>
      </c>
      <c r="F794" s="12" t="s">
        <v>37</v>
      </c>
      <c r="G794" s="14" t="n">
        <v>1600</v>
      </c>
      <c r="H794" s="15" t="n">
        <v>14.22</v>
      </c>
      <c r="I794" s="15" t="n">
        <v>14.39</v>
      </c>
      <c r="J794" s="16" t="n">
        <f aca="false">G794*H794</f>
        <v>22752</v>
      </c>
      <c r="K794" s="16" t="n">
        <f aca="false">(H794-I794)*G794</f>
        <v>-272</v>
      </c>
      <c r="L794" s="17" t="n">
        <f aca="false">IF(I794=0,0,H794/I794-1)</f>
        <v>-0.0118137595552467</v>
      </c>
      <c r="M794" s="14" t="n">
        <v>1</v>
      </c>
      <c r="N794" s="18" t="n">
        <v>0.018</v>
      </c>
    </row>
    <row r="795" customFormat="false" ht="15" hidden="false" customHeight="false" outlineLevel="0" collapsed="false">
      <c r="A795" s="12" t="s">
        <v>854</v>
      </c>
      <c r="B795" s="13" t="n">
        <v>45895</v>
      </c>
      <c r="C795" s="12" t="str">
        <f aca="false">TEXT(B795,"yyyy-mm")</f>
        <v>2025-08</v>
      </c>
      <c r="D795" s="12" t="s">
        <v>39</v>
      </c>
      <c r="E795" s="12" t="s">
        <v>46</v>
      </c>
      <c r="F795" s="12" t="s">
        <v>47</v>
      </c>
      <c r="G795" s="14" t="n">
        <v>1600</v>
      </c>
      <c r="H795" s="15" t="n">
        <v>19.56</v>
      </c>
      <c r="I795" s="15" t="n">
        <v>18.85</v>
      </c>
      <c r="J795" s="16" t="n">
        <f aca="false">G795*H795</f>
        <v>31296</v>
      </c>
      <c r="K795" s="16" t="n">
        <f aca="false">(H795-I795)*G795</f>
        <v>1136</v>
      </c>
      <c r="L795" s="17" t="n">
        <f aca="false">IF(I795=0,0,H795/I795-1)</f>
        <v>0.0376657824933686</v>
      </c>
      <c r="M795" s="14" t="n">
        <v>1</v>
      </c>
      <c r="N795" s="18" t="n">
        <v>0.007</v>
      </c>
    </row>
    <row r="796" customFormat="false" ht="15" hidden="false" customHeight="false" outlineLevel="0" collapsed="false">
      <c r="A796" s="12" t="s">
        <v>855</v>
      </c>
      <c r="B796" s="13" t="n">
        <v>45895</v>
      </c>
      <c r="C796" s="12" t="str">
        <f aca="false">TEXT(B796,"yyyy-mm")</f>
        <v>2025-08</v>
      </c>
      <c r="D796" s="12" t="s">
        <v>35</v>
      </c>
      <c r="E796" s="12" t="s">
        <v>43</v>
      </c>
      <c r="F796" s="12" t="s">
        <v>44</v>
      </c>
      <c r="G796" s="14" t="n">
        <v>800</v>
      </c>
      <c r="H796" s="15" t="n">
        <v>17.36</v>
      </c>
      <c r="I796" s="15" t="n">
        <v>17.12</v>
      </c>
      <c r="J796" s="16" t="n">
        <f aca="false">G796*H796</f>
        <v>13888</v>
      </c>
      <c r="K796" s="16" t="n">
        <f aca="false">(H796-I796)*G796</f>
        <v>191.999999999999</v>
      </c>
      <c r="L796" s="17" t="n">
        <f aca="false">IF(I796=0,0,H796/I796-1)</f>
        <v>0.014018691588785</v>
      </c>
      <c r="M796" s="14" t="n">
        <v>1</v>
      </c>
      <c r="N796" s="18" t="n">
        <v>0.015</v>
      </c>
    </row>
    <row r="797" customFormat="false" ht="15" hidden="false" customHeight="false" outlineLevel="0" collapsed="false">
      <c r="A797" s="12" t="s">
        <v>856</v>
      </c>
      <c r="B797" s="13" t="n">
        <v>45895</v>
      </c>
      <c r="C797" s="12" t="str">
        <f aca="false">TEXT(B797,"yyyy-mm")</f>
        <v>2025-08</v>
      </c>
      <c r="D797" s="12" t="s">
        <v>58</v>
      </c>
      <c r="E797" s="12" t="s">
        <v>76</v>
      </c>
      <c r="F797" s="12" t="s">
        <v>77</v>
      </c>
      <c r="G797" s="14" t="n">
        <v>200</v>
      </c>
      <c r="H797" s="15" t="n">
        <v>33.73</v>
      </c>
      <c r="I797" s="15" t="n">
        <v>34.74</v>
      </c>
      <c r="J797" s="16" t="n">
        <f aca="false">G797*H797</f>
        <v>6746</v>
      </c>
      <c r="K797" s="16" t="n">
        <f aca="false">(H797-I797)*G797</f>
        <v>-202.000000000001</v>
      </c>
      <c r="L797" s="17" t="n">
        <f aca="false">IF(I797=0,0,H797/I797-1)</f>
        <v>-0.0290731145653427</v>
      </c>
      <c r="M797" s="14" t="n">
        <v>1</v>
      </c>
      <c r="N797" s="18" t="n">
        <v>0.02</v>
      </c>
    </row>
    <row r="798" customFormat="false" ht="15" hidden="false" customHeight="false" outlineLevel="0" collapsed="false">
      <c r="A798" s="12" t="s">
        <v>857</v>
      </c>
      <c r="B798" s="13" t="n">
        <v>45896</v>
      </c>
      <c r="C798" s="12" t="str">
        <f aca="false">TEXT(B798,"yyyy-mm")</f>
        <v>2025-08</v>
      </c>
      <c r="D798" s="12" t="s">
        <v>58</v>
      </c>
      <c r="E798" s="12" t="s">
        <v>76</v>
      </c>
      <c r="F798" s="12" t="s">
        <v>77</v>
      </c>
      <c r="G798" s="14" t="n">
        <v>2000</v>
      </c>
      <c r="H798" s="15" t="n">
        <v>34.9</v>
      </c>
      <c r="I798" s="15" t="n">
        <v>34.1</v>
      </c>
      <c r="J798" s="16" t="n">
        <f aca="false">G798*H798</f>
        <v>69800</v>
      </c>
      <c r="K798" s="16" t="n">
        <f aca="false">(H798-I798)*G798</f>
        <v>1599.99999999999</v>
      </c>
      <c r="L798" s="17" t="n">
        <f aca="false">IF(I798=0,0,H798/I798-1)</f>
        <v>0.0234604105571847</v>
      </c>
      <c r="M798" s="14" t="n">
        <v>1</v>
      </c>
      <c r="N798" s="18" t="n">
        <v>0.019</v>
      </c>
    </row>
    <row r="799" customFormat="false" ht="15" hidden="false" customHeight="false" outlineLevel="0" collapsed="false">
      <c r="A799" s="12" t="s">
        <v>858</v>
      </c>
      <c r="B799" s="13" t="n">
        <v>45896</v>
      </c>
      <c r="C799" s="12" t="str">
        <f aca="false">TEXT(B799,"yyyy-mm")</f>
        <v>2025-08</v>
      </c>
      <c r="D799" s="12" t="s">
        <v>58</v>
      </c>
      <c r="E799" s="12" t="s">
        <v>40</v>
      </c>
      <c r="F799" s="12" t="s">
        <v>41</v>
      </c>
      <c r="G799" s="14" t="n">
        <v>2000</v>
      </c>
      <c r="H799" s="15" t="n">
        <v>35.92</v>
      </c>
      <c r="I799" s="15" t="n">
        <v>35.29</v>
      </c>
      <c r="J799" s="16" t="n">
        <f aca="false">G799*H799</f>
        <v>71840</v>
      </c>
      <c r="K799" s="16" t="n">
        <f aca="false">(H799-I799)*G799</f>
        <v>1260.00000000001</v>
      </c>
      <c r="L799" s="17" t="n">
        <f aca="false">IF(I799=0,0,H799/I799-1)</f>
        <v>0.0178520827429867</v>
      </c>
      <c r="M799" s="14" t="n">
        <v>1</v>
      </c>
      <c r="N799" s="18" t="n">
        <v>0.011</v>
      </c>
    </row>
    <row r="800" customFormat="false" ht="15" hidden="false" customHeight="false" outlineLevel="0" collapsed="false">
      <c r="A800" s="12" t="s">
        <v>859</v>
      </c>
      <c r="B800" s="13" t="n">
        <v>45897</v>
      </c>
      <c r="C800" s="12" t="str">
        <f aca="false">TEXT(B800,"yyyy-mm")</f>
        <v>2025-08</v>
      </c>
      <c r="D800" s="12" t="s">
        <v>53</v>
      </c>
      <c r="E800" s="12" t="s">
        <v>54</v>
      </c>
      <c r="F800" s="12" t="s">
        <v>55</v>
      </c>
      <c r="G800" s="14" t="n">
        <v>600</v>
      </c>
      <c r="H800" s="15" t="n">
        <v>17.79</v>
      </c>
      <c r="I800" s="15" t="n">
        <v>17.05</v>
      </c>
      <c r="J800" s="16" t="n">
        <f aca="false">G800*H800</f>
        <v>10674</v>
      </c>
      <c r="K800" s="16" t="n">
        <f aca="false">(H800-I800)*G800</f>
        <v>443.999999999999</v>
      </c>
      <c r="L800" s="17" t="n">
        <f aca="false">IF(I800=0,0,H800/I800-1)</f>
        <v>0.0434017595307916</v>
      </c>
      <c r="M800" s="14" t="n">
        <v>1</v>
      </c>
      <c r="N800" s="18" t="n">
        <v>0.011</v>
      </c>
    </row>
    <row r="801" customFormat="false" ht="15" hidden="false" customHeight="false" outlineLevel="0" collapsed="false">
      <c r="A801" s="12" t="s">
        <v>860</v>
      </c>
      <c r="B801" s="13" t="n">
        <v>45897</v>
      </c>
      <c r="C801" s="12" t="str">
        <f aca="false">TEXT(B801,"yyyy-mm")</f>
        <v>2025-08</v>
      </c>
      <c r="D801" s="12" t="s">
        <v>61</v>
      </c>
      <c r="E801" s="12" t="s">
        <v>43</v>
      </c>
      <c r="F801" s="12" t="s">
        <v>44</v>
      </c>
      <c r="G801" s="14" t="n">
        <v>1000</v>
      </c>
      <c r="H801" s="15" t="n">
        <v>15.5</v>
      </c>
      <c r="I801" s="15" t="n">
        <v>14.98</v>
      </c>
      <c r="J801" s="16" t="n">
        <f aca="false">G801*H801</f>
        <v>15500</v>
      </c>
      <c r="K801" s="16" t="n">
        <f aca="false">(H801-I801)*G801</f>
        <v>520</v>
      </c>
      <c r="L801" s="17" t="n">
        <f aca="false">IF(I801=0,0,H801/I801-1)</f>
        <v>0.034712950600801</v>
      </c>
      <c r="M801" s="14" t="n">
        <v>1</v>
      </c>
      <c r="N801" s="18" t="n">
        <v>0.008</v>
      </c>
    </row>
    <row r="802" customFormat="false" ht="15" hidden="false" customHeight="false" outlineLevel="0" collapsed="false">
      <c r="A802" s="12" t="s">
        <v>861</v>
      </c>
      <c r="B802" s="13" t="n">
        <v>45897</v>
      </c>
      <c r="C802" s="12" t="str">
        <f aca="false">TEXT(B802,"yyyy-mm")</f>
        <v>2025-08</v>
      </c>
      <c r="D802" s="12" t="s">
        <v>80</v>
      </c>
      <c r="E802" s="12" t="s">
        <v>92</v>
      </c>
      <c r="F802" s="12" t="s">
        <v>93</v>
      </c>
      <c r="G802" s="14" t="n">
        <v>200</v>
      </c>
      <c r="H802" s="15" t="n">
        <v>22.42</v>
      </c>
      <c r="I802" s="15" t="n">
        <v>24.25</v>
      </c>
      <c r="J802" s="16" t="n">
        <f aca="false">G802*H802</f>
        <v>4484</v>
      </c>
      <c r="K802" s="16" t="n">
        <f aca="false">(H802-I802)*G802</f>
        <v>-366</v>
      </c>
      <c r="L802" s="17" t="n">
        <f aca="false">IF(I802=0,0,H802/I802-1)</f>
        <v>-0.0754639175257731</v>
      </c>
      <c r="M802" s="14" t="n">
        <v>1</v>
      </c>
      <c r="N802" s="18" t="n">
        <v>0.044</v>
      </c>
    </row>
    <row r="803" customFormat="false" ht="15" hidden="false" customHeight="false" outlineLevel="0" collapsed="false">
      <c r="A803" s="12" t="s">
        <v>862</v>
      </c>
      <c r="B803" s="13" t="n">
        <v>45897</v>
      </c>
      <c r="C803" s="12" t="str">
        <f aca="false">TEXT(B803,"yyyy-mm")</f>
        <v>2025-08</v>
      </c>
      <c r="D803" s="12" t="s">
        <v>35</v>
      </c>
      <c r="E803" s="12" t="s">
        <v>36</v>
      </c>
      <c r="F803" s="12" t="s">
        <v>37</v>
      </c>
      <c r="G803" s="14" t="n">
        <v>800</v>
      </c>
      <c r="H803" s="15" t="n">
        <v>16.56</v>
      </c>
      <c r="I803" s="15" t="n">
        <v>16.35</v>
      </c>
      <c r="J803" s="16" t="n">
        <f aca="false">G803*H803</f>
        <v>13248</v>
      </c>
      <c r="K803" s="16" t="n">
        <f aca="false">(H803-I803)*G803</f>
        <v>167.999999999998</v>
      </c>
      <c r="L803" s="17" t="n">
        <f aca="false">IF(I803=0,0,H803/I803-1)</f>
        <v>0.0128440366972475</v>
      </c>
      <c r="M803" s="14" t="n">
        <v>1</v>
      </c>
      <c r="N803" s="18" t="n">
        <v>0.017</v>
      </c>
    </row>
    <row r="804" customFormat="false" ht="15" hidden="false" customHeight="false" outlineLevel="0" collapsed="false">
      <c r="A804" s="12" t="s">
        <v>863</v>
      </c>
      <c r="B804" s="13" t="n">
        <v>45898</v>
      </c>
      <c r="C804" s="12" t="str">
        <f aca="false">TEXT(B804,"yyyy-mm")</f>
        <v>2025-08</v>
      </c>
      <c r="D804" s="12" t="s">
        <v>80</v>
      </c>
      <c r="E804" s="12" t="s">
        <v>81</v>
      </c>
      <c r="F804" s="12" t="s">
        <v>82</v>
      </c>
      <c r="G804" s="14" t="n">
        <v>600</v>
      </c>
      <c r="H804" s="15" t="n">
        <v>23.9</v>
      </c>
      <c r="I804" s="15" t="n">
        <v>24.15</v>
      </c>
      <c r="J804" s="16" t="n">
        <f aca="false">G804*H804</f>
        <v>14340</v>
      </c>
      <c r="K804" s="16" t="n">
        <f aca="false">(H804-I804)*G804</f>
        <v>-150</v>
      </c>
      <c r="L804" s="17" t="n">
        <f aca="false">IF(I804=0,0,H804/I804-1)</f>
        <v>-0.010351966873706</v>
      </c>
      <c r="M804" s="14" t="n">
        <v>1</v>
      </c>
      <c r="N804" s="18" t="n">
        <v>0.031</v>
      </c>
    </row>
    <row r="805" customFormat="false" ht="15" hidden="false" customHeight="false" outlineLevel="0" collapsed="false">
      <c r="A805" s="12" t="s">
        <v>864</v>
      </c>
      <c r="B805" s="13" t="n">
        <v>45898</v>
      </c>
      <c r="C805" s="12" t="str">
        <f aca="false">TEXT(B805,"yyyy-mm")</f>
        <v>2025-08</v>
      </c>
      <c r="D805" s="12" t="s">
        <v>58</v>
      </c>
      <c r="E805" s="12" t="s">
        <v>59</v>
      </c>
      <c r="F805" s="12" t="s">
        <v>55</v>
      </c>
      <c r="G805" s="14" t="n">
        <v>800</v>
      </c>
      <c r="H805" s="15" t="n">
        <v>36.56</v>
      </c>
      <c r="I805" s="15" t="n">
        <v>33.96</v>
      </c>
      <c r="J805" s="16" t="n">
        <f aca="false">G805*H805</f>
        <v>29248</v>
      </c>
      <c r="K805" s="16" t="n">
        <f aca="false">(H805-I805)*G805</f>
        <v>2080</v>
      </c>
      <c r="L805" s="17" t="n">
        <f aca="false">IF(I805=0,0,H805/I805-1)</f>
        <v>0.076560659599529</v>
      </c>
      <c r="M805" s="14" t="n">
        <v>1</v>
      </c>
      <c r="N805" s="18" t="n">
        <v>0.025</v>
      </c>
    </row>
    <row r="806" customFormat="false" ht="15" hidden="false" customHeight="false" outlineLevel="0" collapsed="false">
      <c r="A806" s="12" t="s">
        <v>865</v>
      </c>
      <c r="B806" s="13" t="n">
        <v>45898</v>
      </c>
      <c r="C806" s="12" t="str">
        <f aca="false">TEXT(B806,"yyyy-mm")</f>
        <v>2025-08</v>
      </c>
      <c r="D806" s="12" t="s">
        <v>61</v>
      </c>
      <c r="E806" s="12" t="s">
        <v>36</v>
      </c>
      <c r="F806" s="12" t="s">
        <v>37</v>
      </c>
      <c r="G806" s="14" t="n">
        <v>1600</v>
      </c>
      <c r="H806" s="15" t="n">
        <v>15.19</v>
      </c>
      <c r="I806" s="15" t="n">
        <v>15.08</v>
      </c>
      <c r="J806" s="16" t="n">
        <f aca="false">G806*H806</f>
        <v>24304</v>
      </c>
      <c r="K806" s="16" t="n">
        <f aca="false">(H806-I806)*G806</f>
        <v>175.999999999999</v>
      </c>
      <c r="L806" s="17" t="n">
        <f aca="false">IF(I806=0,0,H806/I806-1)</f>
        <v>0.00729442970822269</v>
      </c>
      <c r="M806" s="14" t="n">
        <v>1</v>
      </c>
      <c r="N806" s="18" t="n">
        <v>0.022</v>
      </c>
    </row>
    <row r="807" customFormat="false" ht="15" hidden="false" customHeight="false" outlineLevel="0" collapsed="false">
      <c r="A807" s="12" t="s">
        <v>866</v>
      </c>
      <c r="B807" s="13" t="n">
        <v>45898</v>
      </c>
      <c r="C807" s="12" t="str">
        <f aca="false">TEXT(B807,"yyyy-mm")</f>
        <v>2025-08</v>
      </c>
      <c r="D807" s="12" t="s">
        <v>53</v>
      </c>
      <c r="E807" s="12" t="s">
        <v>49</v>
      </c>
      <c r="F807" s="12" t="s">
        <v>50</v>
      </c>
      <c r="G807" s="14" t="n">
        <v>2000</v>
      </c>
      <c r="H807" s="15" t="n">
        <v>16.24</v>
      </c>
      <c r="I807" s="15" t="n">
        <v>16.82</v>
      </c>
      <c r="J807" s="16" t="n">
        <f aca="false">G807*H807</f>
        <v>32480</v>
      </c>
      <c r="K807" s="16" t="n">
        <f aca="false">(H807-I807)*G807</f>
        <v>-1160</v>
      </c>
      <c r="L807" s="17" t="n">
        <f aca="false">IF(I807=0,0,H807/I807-1)</f>
        <v>-0.0344827586206897</v>
      </c>
      <c r="M807" s="14" t="n">
        <v>1</v>
      </c>
      <c r="N807" s="18" t="n">
        <v>0.059</v>
      </c>
    </row>
    <row r="808" customFormat="false" ht="15" hidden="false" customHeight="false" outlineLevel="0" collapsed="false">
      <c r="A808" s="12" t="s">
        <v>867</v>
      </c>
      <c r="B808" s="13" t="n">
        <v>45898</v>
      </c>
      <c r="C808" s="12" t="str">
        <f aca="false">TEXT(B808,"yyyy-mm")</f>
        <v>2025-08</v>
      </c>
      <c r="D808" s="12" t="s">
        <v>39</v>
      </c>
      <c r="E808" s="12" t="s">
        <v>49</v>
      </c>
      <c r="F808" s="12" t="s">
        <v>50</v>
      </c>
      <c r="G808" s="14" t="n">
        <v>600</v>
      </c>
      <c r="H808" s="15" t="n">
        <v>18.54</v>
      </c>
      <c r="I808" s="15" t="n">
        <v>19.34</v>
      </c>
      <c r="J808" s="16" t="n">
        <f aca="false">G808*H808</f>
        <v>11124</v>
      </c>
      <c r="K808" s="16" t="n">
        <f aca="false">(H808-I808)*G808</f>
        <v>-480</v>
      </c>
      <c r="L808" s="17" t="n">
        <f aca="false">IF(I808=0,0,H808/I808-1)</f>
        <v>-0.0413650465356774</v>
      </c>
      <c r="M808" s="14" t="n">
        <v>1</v>
      </c>
      <c r="N808" s="18" t="n">
        <v>0.014</v>
      </c>
    </row>
    <row r="809" customFormat="false" ht="15" hidden="false" customHeight="false" outlineLevel="0" collapsed="false">
      <c r="A809" s="12" t="s">
        <v>868</v>
      </c>
      <c r="B809" s="13" t="n">
        <v>45900</v>
      </c>
      <c r="C809" s="12" t="str">
        <f aca="false">TEXT(B809,"yyyy-mm")</f>
        <v>2025-08</v>
      </c>
      <c r="D809" s="12" t="s">
        <v>80</v>
      </c>
      <c r="E809" s="12" t="s">
        <v>81</v>
      </c>
      <c r="F809" s="12" t="s">
        <v>82</v>
      </c>
      <c r="G809" s="14" t="n">
        <v>1000</v>
      </c>
      <c r="H809" s="15" t="n">
        <v>22.9</v>
      </c>
      <c r="I809" s="15" t="n">
        <v>24.22</v>
      </c>
      <c r="J809" s="16" t="n">
        <f aca="false">G809*H809</f>
        <v>22900</v>
      </c>
      <c r="K809" s="16" t="n">
        <f aca="false">(H809-I809)*G809</f>
        <v>-1320</v>
      </c>
      <c r="L809" s="17" t="n">
        <f aca="false">IF(I809=0,0,H809/I809-1)</f>
        <v>-0.0545004128819158</v>
      </c>
      <c r="M809" s="14" t="n">
        <v>1</v>
      </c>
      <c r="N809" s="18" t="n">
        <v>0.027</v>
      </c>
    </row>
    <row r="810" customFormat="false" ht="15" hidden="false" customHeight="false" outlineLevel="0" collapsed="false">
      <c r="A810" s="12" t="s">
        <v>869</v>
      </c>
      <c r="B810" s="13" t="n">
        <v>45900</v>
      </c>
      <c r="C810" s="12" t="str">
        <f aca="false">TEXT(B810,"yyyy-mm")</f>
        <v>2025-08</v>
      </c>
      <c r="D810" s="12" t="s">
        <v>39</v>
      </c>
      <c r="E810" s="12" t="s">
        <v>46</v>
      </c>
      <c r="F810" s="12" t="s">
        <v>47</v>
      </c>
      <c r="G810" s="14" t="n">
        <v>1000</v>
      </c>
      <c r="H810" s="15" t="n">
        <v>19.58</v>
      </c>
      <c r="I810" s="15" t="n">
        <v>19.12</v>
      </c>
      <c r="J810" s="16" t="n">
        <f aca="false">G810*H810</f>
        <v>19580</v>
      </c>
      <c r="K810" s="16" t="n">
        <f aca="false">(H810-I810)*G810</f>
        <v>459.999999999997</v>
      </c>
      <c r="L810" s="17" t="n">
        <f aca="false">IF(I810=0,0,H810/I810-1)</f>
        <v>0.0240585774058577</v>
      </c>
      <c r="M810" s="14" t="n">
        <v>1</v>
      </c>
      <c r="N810" s="18" t="n">
        <v>0.009</v>
      </c>
    </row>
    <row r="811" customFormat="false" ht="15" hidden="false" customHeight="false" outlineLevel="0" collapsed="false">
      <c r="A811" s="12" t="s">
        <v>870</v>
      </c>
      <c r="B811" s="13" t="n">
        <v>45900</v>
      </c>
      <c r="C811" s="12" t="str">
        <f aca="false">TEXT(B811,"yyyy-mm")</f>
        <v>2025-08</v>
      </c>
      <c r="D811" s="12" t="s">
        <v>53</v>
      </c>
      <c r="E811" s="12" t="s">
        <v>49</v>
      </c>
      <c r="F811" s="12" t="s">
        <v>50</v>
      </c>
      <c r="G811" s="14" t="n">
        <v>2000</v>
      </c>
      <c r="H811" s="15" t="n">
        <v>15.8</v>
      </c>
      <c r="I811" s="15" t="n">
        <v>16.55</v>
      </c>
      <c r="J811" s="16" t="n">
        <f aca="false">G811*H811</f>
        <v>31600</v>
      </c>
      <c r="K811" s="16" t="n">
        <f aca="false">(H811-I811)*G811</f>
        <v>-1500</v>
      </c>
      <c r="L811" s="17" t="n">
        <f aca="false">IF(I811=0,0,H811/I811-1)</f>
        <v>-0.0453172205438066</v>
      </c>
      <c r="M811" s="14" t="n">
        <v>1</v>
      </c>
      <c r="N811" s="18" t="n">
        <v>0.027</v>
      </c>
    </row>
    <row r="812" customFormat="false" ht="15" hidden="false" customHeight="false" outlineLevel="0" collapsed="false">
      <c r="A812" s="12" t="s">
        <v>871</v>
      </c>
      <c r="B812" s="13" t="n">
        <v>45900</v>
      </c>
      <c r="C812" s="12" t="str">
        <f aca="false">TEXT(B812,"yyyy-mm")</f>
        <v>2025-08</v>
      </c>
      <c r="D812" s="12" t="s">
        <v>61</v>
      </c>
      <c r="E812" s="12" t="s">
        <v>43</v>
      </c>
      <c r="F812" s="12" t="s">
        <v>44</v>
      </c>
      <c r="G812" s="14" t="n">
        <v>1000</v>
      </c>
      <c r="H812" s="15" t="n">
        <v>14.74</v>
      </c>
      <c r="I812" s="15" t="n">
        <v>14.56</v>
      </c>
      <c r="J812" s="16" t="n">
        <f aca="false">G812*H812</f>
        <v>14740</v>
      </c>
      <c r="K812" s="16" t="n">
        <f aca="false">(H812-I812)*G812</f>
        <v>180</v>
      </c>
      <c r="L812" s="17" t="n">
        <f aca="false">IF(I812=0,0,H812/I812-1)</f>
        <v>0.0123626373626373</v>
      </c>
      <c r="M812" s="14" t="n">
        <v>1</v>
      </c>
      <c r="N812" s="18" t="n">
        <v>0.016</v>
      </c>
    </row>
    <row r="813" customFormat="false" ht="15" hidden="false" customHeight="false" outlineLevel="0" collapsed="false">
      <c r="A813" s="12" t="s">
        <v>872</v>
      </c>
      <c r="B813" s="13" t="n">
        <v>45900</v>
      </c>
      <c r="C813" s="12" t="str">
        <f aca="false">TEXT(B813,"yyyy-mm")</f>
        <v>2025-08</v>
      </c>
      <c r="D813" s="12" t="s">
        <v>80</v>
      </c>
      <c r="E813" s="12" t="s">
        <v>81</v>
      </c>
      <c r="F813" s="12" t="s">
        <v>82</v>
      </c>
      <c r="G813" s="14" t="n">
        <v>800</v>
      </c>
      <c r="H813" s="15" t="n">
        <v>23.91</v>
      </c>
      <c r="I813" s="15" t="n">
        <v>24.58</v>
      </c>
      <c r="J813" s="16" t="n">
        <f aca="false">G813*H813</f>
        <v>19128</v>
      </c>
      <c r="K813" s="16" t="n">
        <f aca="false">(H813-I813)*G813</f>
        <v>-535.999999999999</v>
      </c>
      <c r="L813" s="17" t="n">
        <f aca="false">IF(I813=0,0,H813/I813-1)</f>
        <v>-0.0272579332790887</v>
      </c>
      <c r="M813" s="14" t="n">
        <v>1</v>
      </c>
      <c r="N813" s="18" t="n">
        <v>0.025</v>
      </c>
    </row>
    <row r="814" customFormat="false" ht="15" hidden="false" customHeight="false" outlineLevel="0" collapsed="false">
      <c r="A814" s="12" t="s">
        <v>873</v>
      </c>
      <c r="B814" s="13" t="n">
        <v>45901</v>
      </c>
      <c r="C814" s="12" t="str">
        <f aca="false">TEXT(B814,"yyyy-mm")</f>
        <v>2025-09</v>
      </c>
      <c r="D814" s="12" t="s">
        <v>35</v>
      </c>
      <c r="E814" s="12" t="s">
        <v>43</v>
      </c>
      <c r="F814" s="12" t="s">
        <v>44</v>
      </c>
      <c r="G814" s="14" t="n">
        <v>3200</v>
      </c>
      <c r="H814" s="15" t="n">
        <v>17.36</v>
      </c>
      <c r="I814" s="15" t="n">
        <v>16.59</v>
      </c>
      <c r="J814" s="16" t="n">
        <f aca="false">G814*H814</f>
        <v>55552</v>
      </c>
      <c r="K814" s="16" t="n">
        <f aca="false">(H814-I814)*G814</f>
        <v>2464</v>
      </c>
      <c r="L814" s="17" t="n">
        <f aca="false">IF(I814=0,0,H814/I814-1)</f>
        <v>0.0464135021097045</v>
      </c>
      <c r="M814" s="14" t="n">
        <v>1</v>
      </c>
      <c r="N814" s="18" t="n">
        <v>0.012</v>
      </c>
    </row>
    <row r="815" customFormat="false" ht="15" hidden="false" customHeight="false" outlineLevel="0" collapsed="false">
      <c r="A815" s="12" t="s">
        <v>874</v>
      </c>
      <c r="B815" s="13" t="n">
        <v>45901</v>
      </c>
      <c r="C815" s="12" t="str">
        <f aca="false">TEXT(B815,"yyyy-mm")</f>
        <v>2025-09</v>
      </c>
      <c r="D815" s="12" t="s">
        <v>80</v>
      </c>
      <c r="E815" s="12" t="s">
        <v>81</v>
      </c>
      <c r="F815" s="12" t="s">
        <v>82</v>
      </c>
      <c r="G815" s="14" t="n">
        <v>600</v>
      </c>
      <c r="H815" s="15" t="n">
        <v>21.99</v>
      </c>
      <c r="I815" s="15" t="n">
        <v>22.35</v>
      </c>
      <c r="J815" s="16" t="n">
        <f aca="false">G815*H815</f>
        <v>13194</v>
      </c>
      <c r="K815" s="16" t="n">
        <f aca="false">(H815-I815)*G815</f>
        <v>-216.000000000002</v>
      </c>
      <c r="L815" s="17" t="n">
        <f aca="false">IF(I815=0,0,H815/I815-1)</f>
        <v>-0.0161073825503357</v>
      </c>
      <c r="M815" s="14" t="n">
        <v>1</v>
      </c>
      <c r="N815" s="18" t="n">
        <v>0.051</v>
      </c>
    </row>
    <row r="816" customFormat="false" ht="15" hidden="false" customHeight="false" outlineLevel="0" collapsed="false">
      <c r="A816" s="12" t="s">
        <v>875</v>
      </c>
      <c r="B816" s="13" t="n">
        <v>45901</v>
      </c>
      <c r="C816" s="12" t="str">
        <f aca="false">TEXT(B816,"yyyy-mm")</f>
        <v>2025-09</v>
      </c>
      <c r="D816" s="12" t="s">
        <v>58</v>
      </c>
      <c r="E816" s="12" t="s">
        <v>76</v>
      </c>
      <c r="F816" s="12" t="s">
        <v>77</v>
      </c>
      <c r="G816" s="14" t="n">
        <v>2000</v>
      </c>
      <c r="H816" s="15" t="n">
        <v>32.36</v>
      </c>
      <c r="I816" s="15" t="n">
        <v>31.77</v>
      </c>
      <c r="J816" s="16" t="n">
        <f aca="false">G816*H816</f>
        <v>64720</v>
      </c>
      <c r="K816" s="16" t="n">
        <f aca="false">(H816-I816)*G816</f>
        <v>1180</v>
      </c>
      <c r="L816" s="17" t="n">
        <f aca="false">IF(I816=0,0,H816/I816-1)</f>
        <v>0.0185709789109223</v>
      </c>
      <c r="M816" s="14" t="n">
        <v>1</v>
      </c>
      <c r="N816" s="18" t="n">
        <v>0.018</v>
      </c>
    </row>
    <row r="817" customFormat="false" ht="15" hidden="false" customHeight="false" outlineLevel="0" collapsed="false">
      <c r="A817" s="12" t="s">
        <v>876</v>
      </c>
      <c r="B817" s="13" t="n">
        <v>45902</v>
      </c>
      <c r="C817" s="12" t="str">
        <f aca="false">TEXT(B817,"yyyy-mm")</f>
        <v>2025-09</v>
      </c>
      <c r="D817" s="12" t="s">
        <v>80</v>
      </c>
      <c r="E817" s="12" t="s">
        <v>92</v>
      </c>
      <c r="F817" s="12" t="s">
        <v>93</v>
      </c>
      <c r="G817" s="14" t="n">
        <v>1200</v>
      </c>
      <c r="H817" s="15" t="n">
        <v>21.81</v>
      </c>
      <c r="I817" s="15" t="n">
        <v>23.19</v>
      </c>
      <c r="J817" s="16" t="n">
        <f aca="false">G817*H817</f>
        <v>26172</v>
      </c>
      <c r="K817" s="16" t="n">
        <f aca="false">(H817-I817)*G817</f>
        <v>-1656</v>
      </c>
      <c r="L817" s="17" t="n">
        <f aca="false">IF(I817=0,0,H817/I817-1)</f>
        <v>-0.0595084087968953</v>
      </c>
      <c r="M817" s="14" t="n">
        <v>1</v>
      </c>
      <c r="N817" s="18" t="n">
        <v>0.046</v>
      </c>
    </row>
    <row r="818" customFormat="false" ht="15" hidden="false" customHeight="false" outlineLevel="0" collapsed="false">
      <c r="A818" s="12" t="s">
        <v>877</v>
      </c>
      <c r="B818" s="13" t="n">
        <v>45902</v>
      </c>
      <c r="C818" s="12" t="str">
        <f aca="false">TEXT(B818,"yyyy-mm")</f>
        <v>2025-09</v>
      </c>
      <c r="D818" s="12" t="s">
        <v>58</v>
      </c>
      <c r="E818" s="12" t="s">
        <v>40</v>
      </c>
      <c r="F818" s="12" t="s">
        <v>41</v>
      </c>
      <c r="G818" s="14" t="n">
        <v>1600</v>
      </c>
      <c r="H818" s="15" t="n">
        <v>30.68</v>
      </c>
      <c r="I818" s="15" t="n">
        <v>31.3</v>
      </c>
      <c r="J818" s="16" t="n">
        <f aca="false">G818*H818</f>
        <v>49088</v>
      </c>
      <c r="K818" s="16" t="n">
        <f aca="false">(H818-I818)*G818</f>
        <v>-992.000000000002</v>
      </c>
      <c r="L818" s="17" t="n">
        <f aca="false">IF(I818=0,0,H818/I818-1)</f>
        <v>-0.0198083067092653</v>
      </c>
      <c r="M818" s="14" t="n">
        <v>1</v>
      </c>
      <c r="N818" s="18" t="n">
        <v>0.02</v>
      </c>
    </row>
    <row r="819" customFormat="false" ht="15" hidden="false" customHeight="false" outlineLevel="0" collapsed="false">
      <c r="A819" s="12" t="s">
        <v>878</v>
      </c>
      <c r="B819" s="13" t="n">
        <v>45902</v>
      </c>
      <c r="C819" s="12" t="str">
        <f aca="false">TEXT(B819,"yyyy-mm")</f>
        <v>2025-09</v>
      </c>
      <c r="D819" s="12" t="s">
        <v>80</v>
      </c>
      <c r="E819" s="12" t="s">
        <v>81</v>
      </c>
      <c r="F819" s="12" t="s">
        <v>82</v>
      </c>
      <c r="G819" s="14" t="n">
        <v>800</v>
      </c>
      <c r="H819" s="15" t="n">
        <v>20.96</v>
      </c>
      <c r="I819" s="15" t="n">
        <v>22.12</v>
      </c>
      <c r="J819" s="16" t="n">
        <f aca="false">G819*H819</f>
        <v>16768</v>
      </c>
      <c r="K819" s="16" t="n">
        <f aca="false">(H819-I819)*G819</f>
        <v>-928</v>
      </c>
      <c r="L819" s="17" t="n">
        <f aca="false">IF(I819=0,0,H819/I819-1)</f>
        <v>-0.0524412296564195</v>
      </c>
      <c r="M819" s="14" t="n">
        <v>1</v>
      </c>
      <c r="N819" s="18" t="n">
        <v>0.018</v>
      </c>
    </row>
    <row r="820" customFormat="false" ht="15" hidden="false" customHeight="false" outlineLevel="0" collapsed="false">
      <c r="A820" s="12" t="s">
        <v>879</v>
      </c>
      <c r="B820" s="13" t="n">
        <v>45902</v>
      </c>
      <c r="C820" s="12" t="str">
        <f aca="false">TEXT(B820,"yyyy-mm")</f>
        <v>2025-09</v>
      </c>
      <c r="D820" s="12" t="s">
        <v>58</v>
      </c>
      <c r="E820" s="12" t="s">
        <v>76</v>
      </c>
      <c r="F820" s="12" t="s">
        <v>77</v>
      </c>
      <c r="G820" s="14" t="n">
        <v>1000</v>
      </c>
      <c r="H820" s="15" t="n">
        <v>31.46</v>
      </c>
      <c r="I820" s="15" t="n">
        <v>30.69</v>
      </c>
      <c r="J820" s="16" t="n">
        <f aca="false">G820*H820</f>
        <v>31460</v>
      </c>
      <c r="K820" s="16" t="n">
        <f aca="false">(H820-I820)*G820</f>
        <v>770</v>
      </c>
      <c r="L820" s="17" t="n">
        <f aca="false">IF(I820=0,0,H820/I820-1)</f>
        <v>0.0250896057347669</v>
      </c>
      <c r="M820" s="14" t="n">
        <v>1</v>
      </c>
      <c r="N820" s="18" t="n">
        <v>0.025</v>
      </c>
    </row>
    <row r="821" customFormat="false" ht="15" hidden="false" customHeight="false" outlineLevel="0" collapsed="false">
      <c r="A821" s="12" t="s">
        <v>880</v>
      </c>
      <c r="B821" s="13" t="n">
        <v>45902</v>
      </c>
      <c r="C821" s="12" t="str">
        <f aca="false">TEXT(B821,"yyyy-mm")</f>
        <v>2025-09</v>
      </c>
      <c r="D821" s="12" t="s">
        <v>61</v>
      </c>
      <c r="E821" s="12" t="s">
        <v>43</v>
      </c>
      <c r="F821" s="12" t="s">
        <v>44</v>
      </c>
      <c r="G821" s="14" t="n">
        <v>800</v>
      </c>
      <c r="H821" s="15" t="n">
        <v>14.76</v>
      </c>
      <c r="I821" s="15" t="n">
        <v>14.1</v>
      </c>
      <c r="J821" s="16" t="n">
        <f aca="false">G821*H821</f>
        <v>11808</v>
      </c>
      <c r="K821" s="16" t="n">
        <f aca="false">(H821-I821)*G821</f>
        <v>528</v>
      </c>
      <c r="L821" s="17" t="n">
        <f aca="false">IF(I821=0,0,H821/I821-1)</f>
        <v>0.0468085106382978</v>
      </c>
      <c r="M821" s="14" t="n">
        <v>1</v>
      </c>
      <c r="N821" s="18" t="n">
        <v>0.006</v>
      </c>
    </row>
    <row r="822" customFormat="false" ht="15" hidden="false" customHeight="false" outlineLevel="0" collapsed="false">
      <c r="A822" s="12" t="s">
        <v>881</v>
      </c>
      <c r="B822" s="13" t="n">
        <v>45902</v>
      </c>
      <c r="C822" s="12" t="str">
        <f aca="false">TEXT(B822,"yyyy-mm")</f>
        <v>2025-09</v>
      </c>
      <c r="D822" s="12" t="s">
        <v>35</v>
      </c>
      <c r="E822" s="12" t="s">
        <v>36</v>
      </c>
      <c r="F822" s="12" t="s">
        <v>37</v>
      </c>
      <c r="G822" s="14" t="n">
        <v>2000</v>
      </c>
      <c r="H822" s="15" t="n">
        <v>17.19</v>
      </c>
      <c r="I822" s="15" t="n">
        <v>16.84</v>
      </c>
      <c r="J822" s="16" t="n">
        <f aca="false">G822*H822</f>
        <v>34380</v>
      </c>
      <c r="K822" s="16" t="n">
        <f aca="false">(H822-I822)*G822</f>
        <v>700.000000000003</v>
      </c>
      <c r="L822" s="17" t="n">
        <f aca="false">IF(I822=0,0,H822/I822-1)</f>
        <v>0.0207838479809976</v>
      </c>
      <c r="M822" s="14" t="n">
        <v>1</v>
      </c>
      <c r="N822" s="18" t="n">
        <v>0.005</v>
      </c>
    </row>
    <row r="823" customFormat="false" ht="15" hidden="false" customHeight="false" outlineLevel="0" collapsed="false">
      <c r="A823" s="12" t="s">
        <v>882</v>
      </c>
      <c r="B823" s="13" t="n">
        <v>45902</v>
      </c>
      <c r="C823" s="12" t="str">
        <f aca="false">TEXT(B823,"yyyy-mm")</f>
        <v>2025-09</v>
      </c>
      <c r="D823" s="12" t="s">
        <v>35</v>
      </c>
      <c r="E823" s="12" t="s">
        <v>36</v>
      </c>
      <c r="F823" s="12" t="s">
        <v>37</v>
      </c>
      <c r="G823" s="14" t="n">
        <v>4000</v>
      </c>
      <c r="H823" s="15" t="n">
        <v>16.65</v>
      </c>
      <c r="I823" s="15" t="n">
        <v>16.25</v>
      </c>
      <c r="J823" s="16" t="n">
        <f aca="false">G823*H823</f>
        <v>66600</v>
      </c>
      <c r="K823" s="16" t="n">
        <f aca="false">(H823-I823)*G823</f>
        <v>1599.99999999999</v>
      </c>
      <c r="L823" s="17" t="n">
        <f aca="false">IF(I823=0,0,H823/I823-1)</f>
        <v>0.0246153846153845</v>
      </c>
      <c r="M823" s="14" t="n">
        <v>1</v>
      </c>
      <c r="N823" s="18" t="n">
        <v>0.027</v>
      </c>
    </row>
    <row r="824" customFormat="false" ht="15" hidden="false" customHeight="false" outlineLevel="0" collapsed="false">
      <c r="A824" s="12" t="s">
        <v>883</v>
      </c>
      <c r="B824" s="13" t="n">
        <v>45902</v>
      </c>
      <c r="C824" s="12" t="str">
        <f aca="false">TEXT(B824,"yyyy-mm")</f>
        <v>2025-09</v>
      </c>
      <c r="D824" s="12" t="s">
        <v>35</v>
      </c>
      <c r="E824" s="12" t="s">
        <v>36</v>
      </c>
      <c r="F824" s="12" t="s">
        <v>37</v>
      </c>
      <c r="G824" s="14" t="n">
        <v>4000</v>
      </c>
      <c r="H824" s="15" t="n">
        <v>16.41</v>
      </c>
      <c r="I824" s="15" t="n">
        <v>16.57</v>
      </c>
      <c r="J824" s="16" t="n">
        <f aca="false">G824*H824</f>
        <v>65640</v>
      </c>
      <c r="K824" s="16" t="n">
        <f aca="false">(H824-I824)*G824</f>
        <v>-640.000000000001</v>
      </c>
      <c r="L824" s="17" t="n">
        <f aca="false">IF(I824=0,0,H824/I824-1)</f>
        <v>-0.00965600482800244</v>
      </c>
      <c r="M824" s="14" t="n">
        <v>0</v>
      </c>
      <c r="N824" s="18" t="n">
        <v>0.012</v>
      </c>
    </row>
    <row r="825" customFormat="false" ht="15" hidden="false" customHeight="false" outlineLevel="0" collapsed="false">
      <c r="A825" s="12" t="s">
        <v>884</v>
      </c>
      <c r="B825" s="13" t="n">
        <v>45902</v>
      </c>
      <c r="C825" s="12" t="str">
        <f aca="false">TEXT(B825,"yyyy-mm")</f>
        <v>2025-09</v>
      </c>
      <c r="D825" s="12" t="s">
        <v>80</v>
      </c>
      <c r="E825" s="12" t="s">
        <v>92</v>
      </c>
      <c r="F825" s="12" t="s">
        <v>93</v>
      </c>
      <c r="G825" s="14" t="n">
        <v>600</v>
      </c>
      <c r="H825" s="15" t="n">
        <v>20.61</v>
      </c>
      <c r="I825" s="15" t="n">
        <v>22.44</v>
      </c>
      <c r="J825" s="16" t="n">
        <f aca="false">G825*H825</f>
        <v>12366</v>
      </c>
      <c r="K825" s="16" t="n">
        <f aca="false">(H825-I825)*G825</f>
        <v>-1098</v>
      </c>
      <c r="L825" s="17" t="n">
        <f aca="false">IF(I825=0,0,H825/I825-1)</f>
        <v>-0.0815508021390375</v>
      </c>
      <c r="M825" s="14" t="n">
        <v>1</v>
      </c>
      <c r="N825" s="18" t="n">
        <v>0.022</v>
      </c>
    </row>
    <row r="826" customFormat="false" ht="15" hidden="false" customHeight="false" outlineLevel="0" collapsed="false">
      <c r="A826" s="12" t="s">
        <v>885</v>
      </c>
      <c r="B826" s="13" t="n">
        <v>45903</v>
      </c>
      <c r="C826" s="12" t="str">
        <f aca="false">TEXT(B826,"yyyy-mm")</f>
        <v>2025-09</v>
      </c>
      <c r="D826" s="12" t="s">
        <v>80</v>
      </c>
      <c r="E826" s="12" t="s">
        <v>81</v>
      </c>
      <c r="F826" s="12" t="s">
        <v>82</v>
      </c>
      <c r="G826" s="14" t="n">
        <v>400</v>
      </c>
      <c r="H826" s="15" t="n">
        <v>21.43</v>
      </c>
      <c r="I826" s="15" t="n">
        <v>22.64</v>
      </c>
      <c r="J826" s="16" t="n">
        <f aca="false">G826*H826</f>
        <v>8572</v>
      </c>
      <c r="K826" s="16" t="n">
        <f aca="false">(H826-I826)*G826</f>
        <v>-484</v>
      </c>
      <c r="L826" s="17" t="n">
        <f aca="false">IF(I826=0,0,H826/I826-1)</f>
        <v>-0.0534452296819788</v>
      </c>
      <c r="M826" s="14" t="n">
        <v>1</v>
      </c>
      <c r="N826" s="18" t="n">
        <v>0.012</v>
      </c>
    </row>
    <row r="827" customFormat="false" ht="15" hidden="false" customHeight="false" outlineLevel="0" collapsed="false">
      <c r="A827" s="12" t="s">
        <v>886</v>
      </c>
      <c r="B827" s="13" t="n">
        <v>45903</v>
      </c>
      <c r="C827" s="12" t="str">
        <f aca="false">TEXT(B827,"yyyy-mm")</f>
        <v>2025-09</v>
      </c>
      <c r="D827" s="12" t="s">
        <v>58</v>
      </c>
      <c r="E827" s="12" t="s">
        <v>59</v>
      </c>
      <c r="F827" s="12" t="s">
        <v>55</v>
      </c>
      <c r="G827" s="14" t="n">
        <v>200</v>
      </c>
      <c r="H827" s="15" t="n">
        <v>32.78</v>
      </c>
      <c r="I827" s="15" t="n">
        <v>31.51</v>
      </c>
      <c r="J827" s="16" t="n">
        <f aca="false">G827*H827</f>
        <v>6556</v>
      </c>
      <c r="K827" s="16" t="n">
        <f aca="false">(H827-I827)*G827</f>
        <v>254</v>
      </c>
      <c r="L827" s="17" t="n">
        <f aca="false">IF(I827=0,0,H827/I827-1)</f>
        <v>0.0403046651856553</v>
      </c>
      <c r="M827" s="14" t="n">
        <v>1</v>
      </c>
      <c r="N827" s="18" t="n">
        <v>0.008</v>
      </c>
    </row>
    <row r="828" customFormat="false" ht="15" hidden="false" customHeight="false" outlineLevel="0" collapsed="false">
      <c r="A828" s="12" t="s">
        <v>887</v>
      </c>
      <c r="B828" s="13" t="n">
        <v>45903</v>
      </c>
      <c r="C828" s="12" t="str">
        <f aca="false">TEXT(B828,"yyyy-mm")</f>
        <v>2025-09</v>
      </c>
      <c r="D828" s="12" t="s">
        <v>80</v>
      </c>
      <c r="E828" s="12" t="s">
        <v>81</v>
      </c>
      <c r="F828" s="12" t="s">
        <v>82</v>
      </c>
      <c r="G828" s="14" t="n">
        <v>200</v>
      </c>
      <c r="H828" s="15" t="n">
        <v>22.3</v>
      </c>
      <c r="I828" s="15" t="n">
        <v>23.22</v>
      </c>
      <c r="J828" s="16" t="n">
        <f aca="false">G828*H828</f>
        <v>4460</v>
      </c>
      <c r="K828" s="16" t="n">
        <f aca="false">(H828-I828)*G828</f>
        <v>-184</v>
      </c>
      <c r="L828" s="17" t="n">
        <f aca="false">IF(I828=0,0,H828/I828-1)</f>
        <v>-0.0396210163652023</v>
      </c>
      <c r="M828" s="14" t="n">
        <v>1</v>
      </c>
      <c r="N828" s="18" t="n">
        <v>0.034</v>
      </c>
    </row>
    <row r="829" customFormat="false" ht="15" hidden="false" customHeight="false" outlineLevel="0" collapsed="false">
      <c r="A829" s="12" t="s">
        <v>888</v>
      </c>
      <c r="B829" s="13" t="n">
        <v>45904</v>
      </c>
      <c r="C829" s="12" t="str">
        <f aca="false">TEXT(B829,"yyyy-mm")</f>
        <v>2025-09</v>
      </c>
      <c r="D829" s="12" t="s">
        <v>53</v>
      </c>
      <c r="E829" s="12" t="s">
        <v>54</v>
      </c>
      <c r="F829" s="12" t="s">
        <v>55</v>
      </c>
      <c r="G829" s="14" t="n">
        <v>600</v>
      </c>
      <c r="H829" s="15" t="n">
        <v>15.66</v>
      </c>
      <c r="I829" s="15" t="n">
        <v>15.34</v>
      </c>
      <c r="J829" s="16" t="n">
        <f aca="false">G829*H829</f>
        <v>9396</v>
      </c>
      <c r="K829" s="16" t="n">
        <f aca="false">(H829-I829)*G829</f>
        <v>192</v>
      </c>
      <c r="L829" s="17" t="n">
        <f aca="false">IF(I829=0,0,H829/I829-1)</f>
        <v>0.0208604954367666</v>
      </c>
      <c r="M829" s="14" t="n">
        <v>1</v>
      </c>
      <c r="N829" s="18" t="n">
        <v>0.009</v>
      </c>
    </row>
    <row r="830" customFormat="false" ht="15" hidden="false" customHeight="false" outlineLevel="0" collapsed="false">
      <c r="A830" s="12" t="s">
        <v>889</v>
      </c>
      <c r="B830" s="13" t="n">
        <v>45904</v>
      </c>
      <c r="C830" s="12" t="str">
        <f aca="false">TEXT(B830,"yyyy-mm")</f>
        <v>2025-09</v>
      </c>
      <c r="D830" s="12" t="s">
        <v>61</v>
      </c>
      <c r="E830" s="12" t="s">
        <v>36</v>
      </c>
      <c r="F830" s="12" t="s">
        <v>37</v>
      </c>
      <c r="G830" s="14" t="n">
        <v>1000</v>
      </c>
      <c r="H830" s="15" t="n">
        <v>15.1</v>
      </c>
      <c r="I830" s="15" t="n">
        <v>14.7</v>
      </c>
      <c r="J830" s="16" t="n">
        <f aca="false">G830*H830</f>
        <v>15100</v>
      </c>
      <c r="K830" s="16" t="n">
        <f aca="false">(H830-I830)*G830</f>
        <v>400</v>
      </c>
      <c r="L830" s="17" t="n">
        <f aca="false">IF(I830=0,0,H830/I830-1)</f>
        <v>0.0272108843537415</v>
      </c>
      <c r="M830" s="14" t="n">
        <v>1</v>
      </c>
      <c r="N830" s="18" t="n">
        <v>0.02</v>
      </c>
    </row>
    <row r="831" customFormat="false" ht="15" hidden="false" customHeight="false" outlineLevel="0" collapsed="false">
      <c r="A831" s="12" t="s">
        <v>890</v>
      </c>
      <c r="B831" s="13" t="n">
        <v>45904</v>
      </c>
      <c r="C831" s="12" t="str">
        <f aca="false">TEXT(B831,"yyyy-mm")</f>
        <v>2025-09</v>
      </c>
      <c r="D831" s="12" t="s">
        <v>39</v>
      </c>
      <c r="E831" s="12" t="s">
        <v>40</v>
      </c>
      <c r="F831" s="12" t="s">
        <v>41</v>
      </c>
      <c r="G831" s="14" t="n">
        <v>600</v>
      </c>
      <c r="H831" s="15" t="n">
        <v>19.33</v>
      </c>
      <c r="I831" s="15" t="n">
        <v>18.87</v>
      </c>
      <c r="J831" s="16" t="n">
        <f aca="false">G831*H831</f>
        <v>11598</v>
      </c>
      <c r="K831" s="16" t="n">
        <f aca="false">(H831-I831)*G831</f>
        <v>275.999999999998</v>
      </c>
      <c r="L831" s="17" t="n">
        <f aca="false">IF(I831=0,0,H831/I831-1)</f>
        <v>0.0243773184949654</v>
      </c>
      <c r="M831" s="14" t="n">
        <v>1</v>
      </c>
      <c r="N831" s="18" t="n">
        <v>0.011</v>
      </c>
    </row>
    <row r="832" customFormat="false" ht="15" hidden="false" customHeight="false" outlineLevel="0" collapsed="false">
      <c r="A832" s="12" t="s">
        <v>891</v>
      </c>
      <c r="B832" s="13" t="n">
        <v>45905</v>
      </c>
      <c r="C832" s="12" t="str">
        <f aca="false">TEXT(B832,"yyyy-mm")</f>
        <v>2025-09</v>
      </c>
      <c r="D832" s="12" t="s">
        <v>61</v>
      </c>
      <c r="E832" s="12" t="s">
        <v>36</v>
      </c>
      <c r="F832" s="12" t="s">
        <v>37</v>
      </c>
      <c r="G832" s="14" t="n">
        <v>1600</v>
      </c>
      <c r="H832" s="15" t="n">
        <v>14.43</v>
      </c>
      <c r="I832" s="15" t="n">
        <v>14.38</v>
      </c>
      <c r="J832" s="16" t="n">
        <f aca="false">G832*H832</f>
        <v>23088</v>
      </c>
      <c r="K832" s="16" t="n">
        <f aca="false">(H832-I832)*G832</f>
        <v>79.9999999999983</v>
      </c>
      <c r="L832" s="17" t="n">
        <f aca="false">IF(I832=0,0,H832/I832-1)</f>
        <v>0.00347705146036148</v>
      </c>
      <c r="M832" s="14" t="n">
        <v>1</v>
      </c>
      <c r="N832" s="18" t="n">
        <v>0.019</v>
      </c>
    </row>
    <row r="833" customFormat="false" ht="15" hidden="false" customHeight="false" outlineLevel="0" collapsed="false">
      <c r="A833" s="12" t="s">
        <v>892</v>
      </c>
      <c r="B833" s="13" t="n">
        <v>45905</v>
      </c>
      <c r="C833" s="12" t="str">
        <f aca="false">TEXT(B833,"yyyy-mm")</f>
        <v>2025-09</v>
      </c>
      <c r="D833" s="12" t="s">
        <v>61</v>
      </c>
      <c r="E833" s="12" t="s">
        <v>43</v>
      </c>
      <c r="F833" s="12" t="s">
        <v>44</v>
      </c>
      <c r="G833" s="14" t="n">
        <v>1000</v>
      </c>
      <c r="H833" s="15" t="n">
        <v>15.07</v>
      </c>
      <c r="I833" s="15" t="n">
        <v>14.11</v>
      </c>
      <c r="J833" s="16" t="n">
        <f aca="false">G833*H833</f>
        <v>15070</v>
      </c>
      <c r="K833" s="16" t="n">
        <f aca="false">(H833-I833)*G833</f>
        <v>960.000000000001</v>
      </c>
      <c r="L833" s="17" t="n">
        <f aca="false">IF(I833=0,0,H833/I833-1)</f>
        <v>0.0680368532955351</v>
      </c>
      <c r="M833" s="14" t="n">
        <v>1</v>
      </c>
      <c r="N833" s="18" t="n">
        <v>0.01</v>
      </c>
    </row>
    <row r="834" customFormat="false" ht="15" hidden="false" customHeight="false" outlineLevel="0" collapsed="false">
      <c r="A834" s="12" t="s">
        <v>893</v>
      </c>
      <c r="B834" s="13" t="n">
        <v>45905</v>
      </c>
      <c r="C834" s="12" t="str">
        <f aca="false">TEXT(B834,"yyyy-mm")</f>
        <v>2025-09</v>
      </c>
      <c r="D834" s="12" t="s">
        <v>58</v>
      </c>
      <c r="E834" s="12" t="s">
        <v>76</v>
      </c>
      <c r="F834" s="12" t="s">
        <v>77</v>
      </c>
      <c r="G834" s="14" t="n">
        <v>800</v>
      </c>
      <c r="H834" s="15" t="n">
        <v>30.89</v>
      </c>
      <c r="I834" s="15" t="n">
        <v>30.1</v>
      </c>
      <c r="J834" s="16" t="n">
        <f aca="false">G834*H834</f>
        <v>24712</v>
      </c>
      <c r="K834" s="16" t="n">
        <f aca="false">(H834-I834)*G834</f>
        <v>631.999999999999</v>
      </c>
      <c r="L834" s="17" t="n">
        <f aca="false">IF(I834=0,0,H834/I834-1)</f>
        <v>0.0262458471760798</v>
      </c>
      <c r="M834" s="14" t="n">
        <v>1</v>
      </c>
      <c r="N834" s="18" t="n">
        <v>0.021</v>
      </c>
    </row>
    <row r="835" customFormat="false" ht="15" hidden="false" customHeight="false" outlineLevel="0" collapsed="false">
      <c r="A835" s="12" t="s">
        <v>894</v>
      </c>
      <c r="B835" s="13" t="n">
        <v>45905</v>
      </c>
      <c r="C835" s="12" t="str">
        <f aca="false">TEXT(B835,"yyyy-mm")</f>
        <v>2025-09</v>
      </c>
      <c r="D835" s="12" t="s">
        <v>80</v>
      </c>
      <c r="E835" s="12" t="s">
        <v>76</v>
      </c>
      <c r="F835" s="12" t="s">
        <v>77</v>
      </c>
      <c r="G835" s="14" t="n">
        <v>800</v>
      </c>
      <c r="H835" s="15" t="n">
        <v>21.93</v>
      </c>
      <c r="I835" s="15" t="n">
        <v>22.59</v>
      </c>
      <c r="J835" s="16" t="n">
        <f aca="false">G835*H835</f>
        <v>17544</v>
      </c>
      <c r="K835" s="16" t="n">
        <f aca="false">(H835-I835)*G835</f>
        <v>-528</v>
      </c>
      <c r="L835" s="17" t="n">
        <f aca="false">IF(I835=0,0,H835/I835-1)</f>
        <v>-0.0292164674634794</v>
      </c>
      <c r="M835" s="14" t="n">
        <v>1</v>
      </c>
      <c r="N835" s="18" t="n">
        <v>0.019</v>
      </c>
    </row>
    <row r="836" customFormat="false" ht="15" hidden="false" customHeight="false" outlineLevel="0" collapsed="false">
      <c r="A836" s="12" t="s">
        <v>895</v>
      </c>
      <c r="B836" s="13" t="n">
        <v>45905</v>
      </c>
      <c r="C836" s="12" t="str">
        <f aca="false">TEXT(B836,"yyyy-mm")</f>
        <v>2025-09</v>
      </c>
      <c r="D836" s="12" t="s">
        <v>35</v>
      </c>
      <c r="E836" s="12" t="s">
        <v>43</v>
      </c>
      <c r="F836" s="12" t="s">
        <v>44</v>
      </c>
      <c r="G836" s="14" t="n">
        <v>400</v>
      </c>
      <c r="H836" s="15" t="n">
        <v>17.19</v>
      </c>
      <c r="I836" s="15" t="n">
        <v>16.42</v>
      </c>
      <c r="J836" s="16" t="n">
        <f aca="false">G836*H836</f>
        <v>6876</v>
      </c>
      <c r="K836" s="16" t="n">
        <f aca="false">(H836-I836)*G836</f>
        <v>308</v>
      </c>
      <c r="L836" s="17" t="n">
        <f aca="false">IF(I836=0,0,H836/I836-1)</f>
        <v>0.0468940316686968</v>
      </c>
      <c r="M836" s="14" t="n">
        <v>1</v>
      </c>
      <c r="N836" s="18" t="n">
        <v>0.012</v>
      </c>
    </row>
    <row r="837" customFormat="false" ht="15" hidden="false" customHeight="false" outlineLevel="0" collapsed="false">
      <c r="A837" s="12" t="s">
        <v>896</v>
      </c>
      <c r="B837" s="13" t="n">
        <v>45905</v>
      </c>
      <c r="C837" s="12" t="str">
        <f aca="false">TEXT(B837,"yyyy-mm")</f>
        <v>2025-09</v>
      </c>
      <c r="D837" s="12" t="s">
        <v>53</v>
      </c>
      <c r="E837" s="12" t="s">
        <v>54</v>
      </c>
      <c r="F837" s="12" t="s">
        <v>55</v>
      </c>
      <c r="G837" s="14" t="n">
        <v>1200</v>
      </c>
      <c r="H837" s="15" t="n">
        <v>15.64</v>
      </c>
      <c r="I837" s="15" t="n">
        <v>15.66</v>
      </c>
      <c r="J837" s="16" t="n">
        <f aca="false">G837*H837</f>
        <v>18768</v>
      </c>
      <c r="K837" s="16" t="n">
        <f aca="false">(H837-I837)*G837</f>
        <v>-23.9999999999995</v>
      </c>
      <c r="L837" s="17" t="n">
        <f aca="false">IF(I837=0,0,H837/I837-1)</f>
        <v>-0.00127713920817363</v>
      </c>
      <c r="M837" s="14" t="n">
        <v>1</v>
      </c>
      <c r="N837" s="18" t="n">
        <v>0.015</v>
      </c>
    </row>
    <row r="838" customFormat="false" ht="15" hidden="false" customHeight="false" outlineLevel="0" collapsed="false">
      <c r="A838" s="12" t="s">
        <v>897</v>
      </c>
      <c r="B838" s="13" t="n">
        <v>45906</v>
      </c>
      <c r="C838" s="12" t="str">
        <f aca="false">TEXT(B838,"yyyy-mm")</f>
        <v>2025-09</v>
      </c>
      <c r="D838" s="12" t="s">
        <v>39</v>
      </c>
      <c r="E838" s="12" t="s">
        <v>46</v>
      </c>
      <c r="F838" s="12" t="s">
        <v>47</v>
      </c>
      <c r="G838" s="14" t="n">
        <v>1000</v>
      </c>
      <c r="H838" s="15" t="n">
        <v>18.92</v>
      </c>
      <c r="I838" s="15" t="n">
        <v>18.34</v>
      </c>
      <c r="J838" s="16" t="n">
        <f aca="false">G838*H838</f>
        <v>18920</v>
      </c>
      <c r="K838" s="16" t="n">
        <f aca="false">(H838-I838)*G838</f>
        <v>580.000000000002</v>
      </c>
      <c r="L838" s="17" t="n">
        <f aca="false">IF(I838=0,0,H838/I838-1)</f>
        <v>0.0316248636859324</v>
      </c>
      <c r="M838" s="14" t="n">
        <v>1</v>
      </c>
      <c r="N838" s="18" t="n">
        <v>0.004</v>
      </c>
    </row>
    <row r="839" customFormat="false" ht="15" hidden="false" customHeight="false" outlineLevel="0" collapsed="false">
      <c r="A839" s="12" t="s">
        <v>898</v>
      </c>
      <c r="B839" s="13" t="n">
        <v>45906</v>
      </c>
      <c r="C839" s="12" t="str">
        <f aca="false">TEXT(B839,"yyyy-mm")</f>
        <v>2025-09</v>
      </c>
      <c r="D839" s="12" t="s">
        <v>53</v>
      </c>
      <c r="E839" s="12" t="s">
        <v>54</v>
      </c>
      <c r="F839" s="12" t="s">
        <v>55</v>
      </c>
      <c r="G839" s="14" t="n">
        <v>1200</v>
      </c>
      <c r="H839" s="15" t="n">
        <v>16.77</v>
      </c>
      <c r="I839" s="15" t="n">
        <v>15.9</v>
      </c>
      <c r="J839" s="16" t="n">
        <f aca="false">G839*H839</f>
        <v>20124</v>
      </c>
      <c r="K839" s="16" t="n">
        <f aca="false">(H839-I839)*G839</f>
        <v>1044</v>
      </c>
      <c r="L839" s="17" t="n">
        <f aca="false">IF(I839=0,0,H839/I839-1)</f>
        <v>0.0547169811320754</v>
      </c>
      <c r="M839" s="14" t="n">
        <v>1</v>
      </c>
      <c r="N839" s="18" t="n">
        <v>0.019</v>
      </c>
    </row>
    <row r="840" customFormat="false" ht="15" hidden="false" customHeight="false" outlineLevel="0" collapsed="false">
      <c r="A840" s="12" t="s">
        <v>899</v>
      </c>
      <c r="B840" s="13" t="n">
        <v>45906</v>
      </c>
      <c r="C840" s="12" t="str">
        <f aca="false">TEXT(B840,"yyyy-mm")</f>
        <v>2025-09</v>
      </c>
      <c r="D840" s="12" t="s">
        <v>35</v>
      </c>
      <c r="E840" s="12" t="s">
        <v>36</v>
      </c>
      <c r="F840" s="12" t="s">
        <v>37</v>
      </c>
      <c r="G840" s="14" t="n">
        <v>1200</v>
      </c>
      <c r="H840" s="15" t="n">
        <v>16.08</v>
      </c>
      <c r="I840" s="15" t="n">
        <v>16.13</v>
      </c>
      <c r="J840" s="16" t="n">
        <f aca="false">G840*H840</f>
        <v>19296</v>
      </c>
      <c r="K840" s="16" t="n">
        <f aca="false">(H840-I840)*G840</f>
        <v>-60.0000000000009</v>
      </c>
      <c r="L840" s="17" t="n">
        <f aca="false">IF(I840=0,0,H840/I840-1)</f>
        <v>-0.00309981401115933</v>
      </c>
      <c r="M840" s="14" t="n">
        <v>1</v>
      </c>
      <c r="N840" s="18" t="n">
        <v>0.021</v>
      </c>
    </row>
    <row r="841" customFormat="false" ht="15" hidden="false" customHeight="false" outlineLevel="0" collapsed="false">
      <c r="A841" s="12" t="s">
        <v>900</v>
      </c>
      <c r="B841" s="13" t="n">
        <v>45908</v>
      </c>
      <c r="C841" s="12" t="str">
        <f aca="false">TEXT(B841,"yyyy-mm")</f>
        <v>2025-09</v>
      </c>
      <c r="D841" s="12" t="s">
        <v>39</v>
      </c>
      <c r="E841" s="12" t="s">
        <v>46</v>
      </c>
      <c r="F841" s="12" t="s">
        <v>47</v>
      </c>
      <c r="G841" s="14" t="n">
        <v>1000</v>
      </c>
      <c r="H841" s="15" t="n">
        <v>19.24</v>
      </c>
      <c r="I841" s="15" t="n">
        <v>18.83</v>
      </c>
      <c r="J841" s="16" t="n">
        <f aca="false">G841*H841</f>
        <v>19240</v>
      </c>
      <c r="K841" s="16" t="n">
        <f aca="false">(H841-I841)*G841</f>
        <v>410</v>
      </c>
      <c r="L841" s="17" t="n">
        <f aca="false">IF(I841=0,0,H841/I841-1)</f>
        <v>0.0217737652681891</v>
      </c>
      <c r="M841" s="14" t="n">
        <v>1</v>
      </c>
      <c r="N841" s="18" t="n">
        <v>0.015</v>
      </c>
    </row>
    <row r="842" customFormat="false" ht="15" hidden="false" customHeight="false" outlineLevel="0" collapsed="false">
      <c r="A842" s="12" t="s">
        <v>901</v>
      </c>
      <c r="B842" s="13" t="n">
        <v>45908</v>
      </c>
      <c r="C842" s="12" t="str">
        <f aca="false">TEXT(B842,"yyyy-mm")</f>
        <v>2025-09</v>
      </c>
      <c r="D842" s="12" t="s">
        <v>80</v>
      </c>
      <c r="E842" s="12" t="s">
        <v>81</v>
      </c>
      <c r="F842" s="12" t="s">
        <v>82</v>
      </c>
      <c r="G842" s="14" t="n">
        <v>2000</v>
      </c>
      <c r="H842" s="15" t="n">
        <v>20.92</v>
      </c>
      <c r="I842" s="15" t="n">
        <v>22.23</v>
      </c>
      <c r="J842" s="16" t="n">
        <f aca="false">G842*H842</f>
        <v>41840</v>
      </c>
      <c r="K842" s="16" t="n">
        <f aca="false">(H842-I842)*G842</f>
        <v>-2620</v>
      </c>
      <c r="L842" s="17" t="n">
        <f aca="false">IF(I842=0,0,H842/I842-1)</f>
        <v>-0.0589293747188483</v>
      </c>
      <c r="M842" s="14" t="n">
        <v>1</v>
      </c>
      <c r="N842" s="18" t="n">
        <v>0.03</v>
      </c>
    </row>
    <row r="843" customFormat="false" ht="15" hidden="false" customHeight="false" outlineLevel="0" collapsed="false">
      <c r="A843" s="12" t="s">
        <v>902</v>
      </c>
      <c r="B843" s="13" t="n">
        <v>45909</v>
      </c>
      <c r="C843" s="12" t="str">
        <f aca="false">TEXT(B843,"yyyy-mm")</f>
        <v>2025-09</v>
      </c>
      <c r="D843" s="12" t="s">
        <v>35</v>
      </c>
      <c r="E843" s="12" t="s">
        <v>43</v>
      </c>
      <c r="F843" s="12" t="s">
        <v>44</v>
      </c>
      <c r="G843" s="14" t="n">
        <v>1200</v>
      </c>
      <c r="H843" s="15" t="n">
        <v>17.13</v>
      </c>
      <c r="I843" s="15" t="n">
        <v>16.66</v>
      </c>
      <c r="J843" s="16" t="n">
        <f aca="false">G843*H843</f>
        <v>20556</v>
      </c>
      <c r="K843" s="16" t="n">
        <f aca="false">(H843-I843)*G843</f>
        <v>563.999999999999</v>
      </c>
      <c r="L843" s="17" t="n">
        <f aca="false">IF(I843=0,0,H843/I843-1)</f>
        <v>0.0282112845138054</v>
      </c>
      <c r="M843" s="14" t="n">
        <v>1</v>
      </c>
      <c r="N843" s="18" t="n">
        <v>0.017</v>
      </c>
    </row>
    <row r="844" customFormat="false" ht="15" hidden="false" customHeight="false" outlineLevel="0" collapsed="false">
      <c r="A844" s="12" t="s">
        <v>903</v>
      </c>
      <c r="B844" s="13" t="n">
        <v>45909</v>
      </c>
      <c r="C844" s="12" t="str">
        <f aca="false">TEXT(B844,"yyyy-mm")</f>
        <v>2025-09</v>
      </c>
      <c r="D844" s="12" t="s">
        <v>75</v>
      </c>
      <c r="E844" s="12" t="s">
        <v>76</v>
      </c>
      <c r="F844" s="12" t="s">
        <v>77</v>
      </c>
      <c r="G844" s="14" t="n">
        <v>600</v>
      </c>
      <c r="H844" s="15" t="n">
        <v>24.91</v>
      </c>
      <c r="I844" s="15" t="n">
        <v>24.79</v>
      </c>
      <c r="J844" s="16" t="n">
        <f aca="false">G844*H844</f>
        <v>14946</v>
      </c>
      <c r="K844" s="16" t="n">
        <f aca="false">(H844-I844)*G844</f>
        <v>72.0000000000006</v>
      </c>
      <c r="L844" s="17" t="n">
        <f aca="false">IF(I844=0,0,H844/I844-1)</f>
        <v>0.00484066155707952</v>
      </c>
      <c r="M844" s="14" t="n">
        <v>1</v>
      </c>
      <c r="N844" s="18" t="n">
        <v>0.023</v>
      </c>
    </row>
    <row r="845" customFormat="false" ht="15" hidden="false" customHeight="false" outlineLevel="0" collapsed="false">
      <c r="A845" s="12" t="s">
        <v>904</v>
      </c>
      <c r="B845" s="13" t="n">
        <v>45909</v>
      </c>
      <c r="C845" s="12" t="str">
        <f aca="false">TEXT(B845,"yyyy-mm")</f>
        <v>2025-09</v>
      </c>
      <c r="D845" s="12" t="s">
        <v>80</v>
      </c>
      <c r="E845" s="12" t="s">
        <v>81</v>
      </c>
      <c r="F845" s="12" t="s">
        <v>82</v>
      </c>
      <c r="G845" s="14" t="n">
        <v>600</v>
      </c>
      <c r="H845" s="15" t="n">
        <v>23.06</v>
      </c>
      <c r="I845" s="15" t="n">
        <v>23.24</v>
      </c>
      <c r="J845" s="16" t="n">
        <f aca="false">G845*H845</f>
        <v>13836</v>
      </c>
      <c r="K845" s="16" t="n">
        <f aca="false">(H845-I845)*G845</f>
        <v>-108</v>
      </c>
      <c r="L845" s="17" t="n">
        <f aca="false">IF(I845=0,0,H845/I845-1)</f>
        <v>-0.0077452667814113</v>
      </c>
      <c r="M845" s="14" t="n">
        <v>1</v>
      </c>
      <c r="N845" s="18" t="n">
        <v>0.025</v>
      </c>
    </row>
    <row r="846" customFormat="false" ht="15" hidden="false" customHeight="false" outlineLevel="0" collapsed="false">
      <c r="A846" s="12" t="s">
        <v>905</v>
      </c>
      <c r="B846" s="13" t="n">
        <v>45910</v>
      </c>
      <c r="C846" s="12" t="str">
        <f aca="false">TEXT(B846,"yyyy-mm")</f>
        <v>2025-09</v>
      </c>
      <c r="D846" s="12" t="s">
        <v>58</v>
      </c>
      <c r="E846" s="12" t="s">
        <v>59</v>
      </c>
      <c r="F846" s="12" t="s">
        <v>55</v>
      </c>
      <c r="G846" s="14" t="n">
        <v>200</v>
      </c>
      <c r="H846" s="15" t="n">
        <v>32.19</v>
      </c>
      <c r="I846" s="15" t="n">
        <v>30.22</v>
      </c>
      <c r="J846" s="16" t="n">
        <f aca="false">G846*H846</f>
        <v>6438</v>
      </c>
      <c r="K846" s="16" t="n">
        <f aca="false">(H846-I846)*G846</f>
        <v>394</v>
      </c>
      <c r="L846" s="17" t="n">
        <f aca="false">IF(I846=0,0,H846/I846-1)</f>
        <v>0.0651886168100595</v>
      </c>
      <c r="M846" s="14" t="n">
        <v>1</v>
      </c>
      <c r="N846" s="18" t="n">
        <v>0.03</v>
      </c>
    </row>
    <row r="847" customFormat="false" ht="15" hidden="false" customHeight="false" outlineLevel="0" collapsed="false">
      <c r="A847" s="12" t="s">
        <v>906</v>
      </c>
      <c r="B847" s="13" t="n">
        <v>45910</v>
      </c>
      <c r="C847" s="12" t="str">
        <f aca="false">TEXT(B847,"yyyy-mm")</f>
        <v>2025-09</v>
      </c>
      <c r="D847" s="12" t="s">
        <v>39</v>
      </c>
      <c r="E847" s="12" t="s">
        <v>46</v>
      </c>
      <c r="F847" s="12" t="s">
        <v>47</v>
      </c>
      <c r="G847" s="14" t="n">
        <v>1000</v>
      </c>
      <c r="H847" s="15" t="n">
        <v>20.41</v>
      </c>
      <c r="I847" s="15" t="n">
        <v>19.06</v>
      </c>
      <c r="J847" s="16" t="n">
        <f aca="false">G847*H847</f>
        <v>20410</v>
      </c>
      <c r="K847" s="16" t="n">
        <f aca="false">(H847-I847)*G847</f>
        <v>1350</v>
      </c>
      <c r="L847" s="17" t="n">
        <f aca="false">IF(I847=0,0,H847/I847-1)</f>
        <v>0.0708289611752362</v>
      </c>
      <c r="M847" s="14" t="n">
        <v>1</v>
      </c>
      <c r="N847" s="18" t="n">
        <v>0.011</v>
      </c>
    </row>
    <row r="848" customFormat="false" ht="15" hidden="false" customHeight="false" outlineLevel="0" collapsed="false">
      <c r="A848" s="12" t="s">
        <v>907</v>
      </c>
      <c r="B848" s="13" t="n">
        <v>45910</v>
      </c>
      <c r="C848" s="12" t="str">
        <f aca="false">TEXT(B848,"yyyy-mm")</f>
        <v>2025-09</v>
      </c>
      <c r="D848" s="12" t="s">
        <v>35</v>
      </c>
      <c r="E848" s="12" t="s">
        <v>43</v>
      </c>
      <c r="F848" s="12" t="s">
        <v>44</v>
      </c>
      <c r="G848" s="14" t="n">
        <v>2000</v>
      </c>
      <c r="H848" s="15" t="n">
        <v>17.23</v>
      </c>
      <c r="I848" s="15" t="n">
        <v>16.63</v>
      </c>
      <c r="J848" s="16" t="n">
        <f aca="false">G848*H848</f>
        <v>34460</v>
      </c>
      <c r="K848" s="16" t="n">
        <f aca="false">(H848-I848)*G848</f>
        <v>1200</v>
      </c>
      <c r="L848" s="17" t="n">
        <f aca="false">IF(I848=0,0,H848/I848-1)</f>
        <v>0.0360793746241732</v>
      </c>
      <c r="M848" s="14" t="n">
        <v>1</v>
      </c>
      <c r="N848" s="18" t="n">
        <v>0.009</v>
      </c>
    </row>
    <row r="849" customFormat="false" ht="15" hidden="false" customHeight="false" outlineLevel="0" collapsed="false">
      <c r="A849" s="12" t="s">
        <v>908</v>
      </c>
      <c r="B849" s="13" t="n">
        <v>45910</v>
      </c>
      <c r="C849" s="12" t="str">
        <f aca="false">TEXT(B849,"yyyy-mm")</f>
        <v>2025-09</v>
      </c>
      <c r="D849" s="12" t="s">
        <v>111</v>
      </c>
      <c r="E849" s="12" t="s">
        <v>92</v>
      </c>
      <c r="F849" s="12" t="s">
        <v>93</v>
      </c>
      <c r="G849" s="14" t="n">
        <v>400</v>
      </c>
      <c r="H849" s="15" t="n">
        <v>19.05</v>
      </c>
      <c r="I849" s="15" t="n">
        <v>20.08</v>
      </c>
      <c r="J849" s="16" t="n">
        <f aca="false">G849*H849</f>
        <v>7620</v>
      </c>
      <c r="K849" s="16" t="n">
        <f aca="false">(H849-I849)*G849</f>
        <v>-411.999999999999</v>
      </c>
      <c r="L849" s="17" t="n">
        <f aca="false">IF(I849=0,0,H849/I849-1)</f>
        <v>-0.0512948207171313</v>
      </c>
      <c r="M849" s="14" t="n">
        <v>1</v>
      </c>
      <c r="N849" s="18" t="n">
        <v>0.035</v>
      </c>
    </row>
    <row r="850" customFormat="false" ht="15" hidden="false" customHeight="false" outlineLevel="0" collapsed="false">
      <c r="A850" s="12" t="s">
        <v>909</v>
      </c>
      <c r="B850" s="13" t="n">
        <v>45910</v>
      </c>
      <c r="C850" s="12" t="str">
        <f aca="false">TEXT(B850,"yyyy-mm")</f>
        <v>2025-09</v>
      </c>
      <c r="D850" s="12" t="s">
        <v>58</v>
      </c>
      <c r="E850" s="12" t="s">
        <v>59</v>
      </c>
      <c r="F850" s="12" t="s">
        <v>55</v>
      </c>
      <c r="G850" s="14" t="n">
        <v>200</v>
      </c>
      <c r="H850" s="15" t="n">
        <v>33.88</v>
      </c>
      <c r="I850" s="15" t="n">
        <v>30.8</v>
      </c>
      <c r="J850" s="16" t="n">
        <f aca="false">G850*H850</f>
        <v>6776</v>
      </c>
      <c r="K850" s="16" t="n">
        <f aca="false">(H850-I850)*G850</f>
        <v>616</v>
      </c>
      <c r="L850" s="17" t="n">
        <f aca="false">IF(I850=0,0,H850/I850-1)</f>
        <v>0.1</v>
      </c>
      <c r="M850" s="14" t="n">
        <v>1</v>
      </c>
      <c r="N850" s="18" t="n">
        <v>0.014</v>
      </c>
    </row>
    <row r="851" customFormat="false" ht="15" hidden="false" customHeight="false" outlineLevel="0" collapsed="false">
      <c r="A851" s="12" t="s">
        <v>910</v>
      </c>
      <c r="B851" s="13" t="n">
        <v>45910</v>
      </c>
      <c r="C851" s="12" t="str">
        <f aca="false">TEXT(B851,"yyyy-mm")</f>
        <v>2025-09</v>
      </c>
      <c r="D851" s="12" t="s">
        <v>35</v>
      </c>
      <c r="E851" s="12" t="s">
        <v>36</v>
      </c>
      <c r="F851" s="12" t="s">
        <v>37</v>
      </c>
      <c r="G851" s="14" t="n">
        <v>2400</v>
      </c>
      <c r="H851" s="15" t="n">
        <v>16.21</v>
      </c>
      <c r="I851" s="15" t="n">
        <v>16.65</v>
      </c>
      <c r="J851" s="16" t="n">
        <f aca="false">G851*H851</f>
        <v>38904</v>
      </c>
      <c r="K851" s="16" t="n">
        <f aca="false">(H851-I851)*G851</f>
        <v>-1055.99999999999</v>
      </c>
      <c r="L851" s="17" t="n">
        <f aca="false">IF(I851=0,0,H851/I851-1)</f>
        <v>-0.0264264264264263</v>
      </c>
      <c r="M851" s="14" t="n">
        <v>1</v>
      </c>
      <c r="N851" s="18" t="n">
        <v>0.021</v>
      </c>
    </row>
    <row r="852" customFormat="false" ht="15" hidden="false" customHeight="false" outlineLevel="0" collapsed="false">
      <c r="A852" s="12" t="s">
        <v>911</v>
      </c>
      <c r="B852" s="13" t="n">
        <v>45910</v>
      </c>
      <c r="C852" s="12" t="str">
        <f aca="false">TEXT(B852,"yyyy-mm")</f>
        <v>2025-09</v>
      </c>
      <c r="D852" s="12" t="s">
        <v>53</v>
      </c>
      <c r="E852" s="12" t="s">
        <v>54</v>
      </c>
      <c r="F852" s="12" t="s">
        <v>55</v>
      </c>
      <c r="G852" s="14" t="n">
        <v>1600</v>
      </c>
      <c r="H852" s="15" t="n">
        <v>15.73</v>
      </c>
      <c r="I852" s="15" t="n">
        <v>15.7</v>
      </c>
      <c r="J852" s="16" t="n">
        <f aca="false">G852*H852</f>
        <v>25168</v>
      </c>
      <c r="K852" s="16" t="n">
        <f aca="false">(H852-I852)*G852</f>
        <v>48.0000000000018</v>
      </c>
      <c r="L852" s="17" t="n">
        <f aca="false">IF(I852=0,0,H852/I852-1)</f>
        <v>0.00191082802547782</v>
      </c>
      <c r="M852" s="14" t="n">
        <v>1</v>
      </c>
      <c r="N852" s="18" t="n">
        <v>0.017</v>
      </c>
    </row>
    <row r="853" customFormat="false" ht="15" hidden="false" customHeight="false" outlineLevel="0" collapsed="false">
      <c r="A853" s="12" t="s">
        <v>912</v>
      </c>
      <c r="B853" s="13" t="n">
        <v>45911</v>
      </c>
      <c r="C853" s="12" t="str">
        <f aca="false">TEXT(B853,"yyyy-mm")</f>
        <v>2025-09</v>
      </c>
      <c r="D853" s="12" t="s">
        <v>35</v>
      </c>
      <c r="E853" s="12" t="s">
        <v>36</v>
      </c>
      <c r="F853" s="12" t="s">
        <v>37</v>
      </c>
      <c r="G853" s="14" t="n">
        <v>1200</v>
      </c>
      <c r="H853" s="15" t="n">
        <v>15.81</v>
      </c>
      <c r="I853" s="15" t="n">
        <v>16.43</v>
      </c>
      <c r="J853" s="16" t="n">
        <f aca="false">G853*H853</f>
        <v>18972</v>
      </c>
      <c r="K853" s="16" t="n">
        <f aca="false">(H853-I853)*G853</f>
        <v>-743.999999999999</v>
      </c>
      <c r="L853" s="17" t="n">
        <f aca="false">IF(I853=0,0,H853/I853-1)</f>
        <v>-0.0377358490566038</v>
      </c>
      <c r="M853" s="14" t="n">
        <v>1</v>
      </c>
      <c r="N853" s="18" t="n">
        <v>0.016</v>
      </c>
    </row>
    <row r="854" customFormat="false" ht="15" hidden="false" customHeight="false" outlineLevel="0" collapsed="false">
      <c r="A854" s="12" t="s">
        <v>913</v>
      </c>
      <c r="B854" s="13" t="n">
        <v>45911</v>
      </c>
      <c r="C854" s="12" t="str">
        <f aca="false">TEXT(B854,"yyyy-mm")</f>
        <v>2025-09</v>
      </c>
      <c r="D854" s="12" t="s">
        <v>80</v>
      </c>
      <c r="E854" s="12" t="s">
        <v>92</v>
      </c>
      <c r="F854" s="12" t="s">
        <v>93</v>
      </c>
      <c r="G854" s="14" t="n">
        <v>1000</v>
      </c>
      <c r="H854" s="15" t="n">
        <v>21.65</v>
      </c>
      <c r="I854" s="15" t="n">
        <v>22.56</v>
      </c>
      <c r="J854" s="16" t="n">
        <f aca="false">G854*H854</f>
        <v>21650</v>
      </c>
      <c r="K854" s="16" t="n">
        <f aca="false">(H854-I854)*G854</f>
        <v>-910</v>
      </c>
      <c r="L854" s="17" t="n">
        <f aca="false">IF(I854=0,0,H854/I854-1)</f>
        <v>-0.0403368794326241</v>
      </c>
      <c r="M854" s="14" t="n">
        <v>1</v>
      </c>
      <c r="N854" s="18" t="n">
        <v>0.064</v>
      </c>
    </row>
    <row r="855" customFormat="false" ht="15" hidden="false" customHeight="false" outlineLevel="0" collapsed="false">
      <c r="A855" s="12" t="s">
        <v>914</v>
      </c>
      <c r="B855" s="13" t="n">
        <v>45912</v>
      </c>
      <c r="C855" s="12" t="str">
        <f aca="false">TEXT(B855,"yyyy-mm")</f>
        <v>2025-09</v>
      </c>
      <c r="D855" s="12" t="s">
        <v>53</v>
      </c>
      <c r="E855" s="12" t="s">
        <v>54</v>
      </c>
      <c r="F855" s="12" t="s">
        <v>55</v>
      </c>
      <c r="G855" s="14" t="n">
        <v>200</v>
      </c>
      <c r="H855" s="15" t="n">
        <v>16.41</v>
      </c>
      <c r="I855" s="15" t="n">
        <v>15.85</v>
      </c>
      <c r="J855" s="16" t="n">
        <f aca="false">G855*H855</f>
        <v>3282</v>
      </c>
      <c r="K855" s="16" t="n">
        <f aca="false">(H855-I855)*G855</f>
        <v>112</v>
      </c>
      <c r="L855" s="17" t="n">
        <f aca="false">IF(I855=0,0,H855/I855-1)</f>
        <v>0.0353312302839117</v>
      </c>
      <c r="M855" s="14" t="n">
        <v>1</v>
      </c>
      <c r="N855" s="18" t="n">
        <v>0.011</v>
      </c>
    </row>
    <row r="856" customFormat="false" ht="15" hidden="false" customHeight="false" outlineLevel="0" collapsed="false">
      <c r="A856" s="12" t="s">
        <v>915</v>
      </c>
      <c r="B856" s="13" t="n">
        <v>45912</v>
      </c>
      <c r="C856" s="12" t="str">
        <f aca="false">TEXT(B856,"yyyy-mm")</f>
        <v>2025-09</v>
      </c>
      <c r="D856" s="12" t="s">
        <v>39</v>
      </c>
      <c r="E856" s="12" t="s">
        <v>46</v>
      </c>
      <c r="F856" s="12" t="s">
        <v>47</v>
      </c>
      <c r="G856" s="14" t="n">
        <v>600</v>
      </c>
      <c r="H856" s="15" t="n">
        <v>20.03</v>
      </c>
      <c r="I856" s="15" t="n">
        <v>18.59</v>
      </c>
      <c r="J856" s="16" t="n">
        <f aca="false">G856*H856</f>
        <v>12018</v>
      </c>
      <c r="K856" s="16" t="n">
        <f aca="false">(H856-I856)*G856</f>
        <v>864.000000000001</v>
      </c>
      <c r="L856" s="17" t="n">
        <f aca="false">IF(I856=0,0,H856/I856-1)</f>
        <v>0.0774610005379237</v>
      </c>
      <c r="M856" s="14" t="n">
        <v>1</v>
      </c>
      <c r="N856" s="18" t="n">
        <v>0.007</v>
      </c>
    </row>
    <row r="857" customFormat="false" ht="15" hidden="false" customHeight="false" outlineLevel="0" collapsed="false">
      <c r="A857" s="12" t="s">
        <v>916</v>
      </c>
      <c r="B857" s="13" t="n">
        <v>45912</v>
      </c>
      <c r="C857" s="12" t="str">
        <f aca="false">TEXT(B857,"yyyy-mm")</f>
        <v>2025-09</v>
      </c>
      <c r="D857" s="12" t="s">
        <v>111</v>
      </c>
      <c r="E857" s="12" t="s">
        <v>76</v>
      </c>
      <c r="F857" s="12" t="s">
        <v>77</v>
      </c>
      <c r="G857" s="14" t="n">
        <v>800</v>
      </c>
      <c r="H857" s="15" t="n">
        <v>19.71</v>
      </c>
      <c r="I857" s="15" t="n">
        <v>19.23</v>
      </c>
      <c r="J857" s="16" t="n">
        <f aca="false">G857*H857</f>
        <v>15768</v>
      </c>
      <c r="K857" s="16" t="n">
        <f aca="false">(H857-I857)*G857</f>
        <v>384</v>
      </c>
      <c r="L857" s="17" t="n">
        <f aca="false">IF(I857=0,0,H857/I857-1)</f>
        <v>0.0249609984399377</v>
      </c>
      <c r="M857" s="14" t="n">
        <v>1</v>
      </c>
      <c r="N857" s="18" t="n">
        <v>0.018</v>
      </c>
    </row>
    <row r="858" customFormat="false" ht="15" hidden="false" customHeight="false" outlineLevel="0" collapsed="false">
      <c r="A858" s="12" t="s">
        <v>917</v>
      </c>
      <c r="B858" s="13" t="n">
        <v>45913</v>
      </c>
      <c r="C858" s="12" t="str">
        <f aca="false">TEXT(B858,"yyyy-mm")</f>
        <v>2025-09</v>
      </c>
      <c r="D858" s="12" t="s">
        <v>75</v>
      </c>
      <c r="E858" s="12" t="s">
        <v>40</v>
      </c>
      <c r="F858" s="12" t="s">
        <v>41</v>
      </c>
      <c r="G858" s="14" t="n">
        <v>1600</v>
      </c>
      <c r="H858" s="15" t="n">
        <v>26.03</v>
      </c>
      <c r="I858" s="15" t="n">
        <v>24.84</v>
      </c>
      <c r="J858" s="16" t="n">
        <f aca="false">G858*H858</f>
        <v>41648</v>
      </c>
      <c r="K858" s="16" t="n">
        <f aca="false">(H858-I858)*G858</f>
        <v>1904</v>
      </c>
      <c r="L858" s="17" t="n">
        <f aca="false">IF(I858=0,0,H858/I858-1)</f>
        <v>0.0479066022544283</v>
      </c>
      <c r="M858" s="14" t="n">
        <v>1</v>
      </c>
      <c r="N858" s="18" t="n">
        <v>0.015</v>
      </c>
    </row>
    <row r="859" customFormat="false" ht="15" hidden="false" customHeight="false" outlineLevel="0" collapsed="false">
      <c r="A859" s="12" t="s">
        <v>918</v>
      </c>
      <c r="B859" s="13" t="n">
        <v>45913</v>
      </c>
      <c r="C859" s="12" t="str">
        <f aca="false">TEXT(B859,"yyyy-mm")</f>
        <v>2025-09</v>
      </c>
      <c r="D859" s="12" t="s">
        <v>58</v>
      </c>
      <c r="E859" s="12" t="s">
        <v>59</v>
      </c>
      <c r="F859" s="12" t="s">
        <v>55</v>
      </c>
      <c r="G859" s="14" t="n">
        <v>200</v>
      </c>
      <c r="H859" s="15" t="n">
        <v>32.37</v>
      </c>
      <c r="I859" s="15" t="n">
        <v>31.02</v>
      </c>
      <c r="J859" s="16" t="n">
        <f aca="false">G859*H859</f>
        <v>6474</v>
      </c>
      <c r="K859" s="16" t="n">
        <f aca="false">(H859-I859)*G859</f>
        <v>270</v>
      </c>
      <c r="L859" s="17" t="n">
        <f aca="false">IF(I859=0,0,H859/I859-1)</f>
        <v>0.0435203094777563</v>
      </c>
      <c r="M859" s="14" t="n">
        <v>1</v>
      </c>
      <c r="N859" s="18" t="n">
        <v>0.032</v>
      </c>
    </row>
    <row r="860" customFormat="false" ht="15" hidden="false" customHeight="false" outlineLevel="0" collapsed="false">
      <c r="A860" s="12" t="s">
        <v>919</v>
      </c>
      <c r="B860" s="13" t="n">
        <v>45913</v>
      </c>
      <c r="C860" s="12" t="str">
        <f aca="false">TEXT(B860,"yyyy-mm")</f>
        <v>2025-09</v>
      </c>
      <c r="D860" s="12" t="s">
        <v>39</v>
      </c>
      <c r="E860" s="12" t="s">
        <v>46</v>
      </c>
      <c r="F860" s="12" t="s">
        <v>47</v>
      </c>
      <c r="G860" s="14" t="n">
        <v>200</v>
      </c>
      <c r="H860" s="15" t="n">
        <v>20.57</v>
      </c>
      <c r="I860" s="15" t="n">
        <v>19.04</v>
      </c>
      <c r="J860" s="16" t="n">
        <f aca="false">G860*H860</f>
        <v>4114</v>
      </c>
      <c r="K860" s="16" t="n">
        <f aca="false">(H860-I860)*G860</f>
        <v>306</v>
      </c>
      <c r="L860" s="17" t="n">
        <f aca="false">IF(I860=0,0,H860/I860-1)</f>
        <v>0.080357142857143</v>
      </c>
      <c r="M860" s="14" t="n">
        <v>1</v>
      </c>
      <c r="N860" s="18" t="n">
        <v>0.008</v>
      </c>
    </row>
    <row r="861" customFormat="false" ht="15" hidden="false" customHeight="false" outlineLevel="0" collapsed="false">
      <c r="A861" s="12" t="s">
        <v>920</v>
      </c>
      <c r="B861" s="13" t="n">
        <v>45914</v>
      </c>
      <c r="C861" s="12" t="str">
        <f aca="false">TEXT(B861,"yyyy-mm")</f>
        <v>2025-09</v>
      </c>
      <c r="D861" s="12" t="s">
        <v>111</v>
      </c>
      <c r="E861" s="12" t="s">
        <v>76</v>
      </c>
      <c r="F861" s="12" t="s">
        <v>77</v>
      </c>
      <c r="G861" s="14" t="n">
        <v>1000</v>
      </c>
      <c r="H861" s="15" t="n">
        <v>19.54</v>
      </c>
      <c r="I861" s="15" t="n">
        <v>19.87</v>
      </c>
      <c r="J861" s="16" t="n">
        <f aca="false">G861*H861</f>
        <v>19540</v>
      </c>
      <c r="K861" s="16" t="n">
        <f aca="false">(H861-I861)*G861</f>
        <v>-330.000000000002</v>
      </c>
      <c r="L861" s="17" t="n">
        <f aca="false">IF(I861=0,0,H861/I861-1)</f>
        <v>-0.0166079516859589</v>
      </c>
      <c r="M861" s="14" t="n">
        <v>1</v>
      </c>
      <c r="N861" s="18" t="n">
        <v>0.006</v>
      </c>
    </row>
    <row r="862" customFormat="false" ht="15" hidden="false" customHeight="false" outlineLevel="0" collapsed="false">
      <c r="A862" s="12" t="s">
        <v>921</v>
      </c>
      <c r="B862" s="13" t="n">
        <v>45914</v>
      </c>
      <c r="C862" s="12" t="str">
        <f aca="false">TEXT(B862,"yyyy-mm")</f>
        <v>2025-09</v>
      </c>
      <c r="D862" s="12" t="s">
        <v>35</v>
      </c>
      <c r="E862" s="12" t="s">
        <v>36</v>
      </c>
      <c r="F862" s="12" t="s">
        <v>37</v>
      </c>
      <c r="G862" s="14" t="n">
        <v>400</v>
      </c>
      <c r="H862" s="15" t="n">
        <v>15.79</v>
      </c>
      <c r="I862" s="15" t="n">
        <v>16.11</v>
      </c>
      <c r="J862" s="16" t="n">
        <f aca="false">G862*H862</f>
        <v>6316</v>
      </c>
      <c r="K862" s="16" t="n">
        <f aca="false">(H862-I862)*G862</f>
        <v>-128</v>
      </c>
      <c r="L862" s="17" t="n">
        <f aca="false">IF(I862=0,0,H862/I862-1)</f>
        <v>-0.0198634388578522</v>
      </c>
      <c r="M862" s="14" t="n">
        <v>1</v>
      </c>
      <c r="N862" s="18" t="n">
        <v>0.031</v>
      </c>
    </row>
    <row r="863" customFormat="false" ht="15" hidden="false" customHeight="false" outlineLevel="0" collapsed="false">
      <c r="A863" s="12" t="s">
        <v>922</v>
      </c>
      <c r="B863" s="13" t="n">
        <v>45914</v>
      </c>
      <c r="C863" s="12" t="str">
        <f aca="false">TEXT(B863,"yyyy-mm")</f>
        <v>2025-09</v>
      </c>
      <c r="D863" s="12" t="s">
        <v>61</v>
      </c>
      <c r="E863" s="12" t="s">
        <v>36</v>
      </c>
      <c r="F863" s="12" t="s">
        <v>37</v>
      </c>
      <c r="G863" s="14" t="n">
        <v>200</v>
      </c>
      <c r="H863" s="15" t="n">
        <v>14.31</v>
      </c>
      <c r="I863" s="15" t="n">
        <v>14.35</v>
      </c>
      <c r="J863" s="16" t="n">
        <f aca="false">G863*H863</f>
        <v>2862</v>
      </c>
      <c r="K863" s="16" t="n">
        <f aca="false">(H863-I863)*G863</f>
        <v>-7.99999999999983</v>
      </c>
      <c r="L863" s="17" t="n">
        <f aca="false">IF(I863=0,0,H863/I863-1)</f>
        <v>-0.00278745644599299</v>
      </c>
      <c r="M863" s="14" t="n">
        <v>1</v>
      </c>
      <c r="N863" s="18" t="n">
        <v>0.018</v>
      </c>
    </row>
    <row r="864" customFormat="false" ht="15" hidden="false" customHeight="false" outlineLevel="0" collapsed="false">
      <c r="A864" s="12" t="s">
        <v>923</v>
      </c>
      <c r="B864" s="13" t="n">
        <v>45915</v>
      </c>
      <c r="C864" s="12" t="str">
        <f aca="false">TEXT(B864,"yyyy-mm")</f>
        <v>2025-09</v>
      </c>
      <c r="D864" s="12" t="s">
        <v>35</v>
      </c>
      <c r="E864" s="12" t="s">
        <v>43</v>
      </c>
      <c r="F864" s="12" t="s">
        <v>44</v>
      </c>
      <c r="G864" s="14" t="n">
        <v>800</v>
      </c>
      <c r="H864" s="15" t="n">
        <v>16.29</v>
      </c>
      <c r="I864" s="15" t="n">
        <v>16.21</v>
      </c>
      <c r="J864" s="16" t="n">
        <f aca="false">G864*H864</f>
        <v>13032</v>
      </c>
      <c r="K864" s="16" t="n">
        <f aca="false">(H864-I864)*G864</f>
        <v>63.9999999999986</v>
      </c>
      <c r="L864" s="17" t="n">
        <f aca="false">IF(I864=0,0,H864/I864-1)</f>
        <v>0.00493522516964817</v>
      </c>
      <c r="M864" s="14" t="n">
        <v>1</v>
      </c>
      <c r="N864" s="18" t="n">
        <v>0.019</v>
      </c>
    </row>
    <row r="865" customFormat="false" ht="15" hidden="false" customHeight="false" outlineLevel="0" collapsed="false">
      <c r="A865" s="12" t="s">
        <v>924</v>
      </c>
      <c r="B865" s="13" t="n">
        <v>45915</v>
      </c>
      <c r="C865" s="12" t="str">
        <f aca="false">TEXT(B865,"yyyy-mm")</f>
        <v>2025-09</v>
      </c>
      <c r="D865" s="12" t="s">
        <v>80</v>
      </c>
      <c r="E865" s="12" t="s">
        <v>81</v>
      </c>
      <c r="F865" s="12" t="s">
        <v>82</v>
      </c>
      <c r="G865" s="14" t="n">
        <v>1000</v>
      </c>
      <c r="H865" s="15" t="n">
        <v>22.46</v>
      </c>
      <c r="I865" s="15" t="n">
        <v>23.17</v>
      </c>
      <c r="J865" s="16" t="n">
        <f aca="false">G865*H865</f>
        <v>22460</v>
      </c>
      <c r="K865" s="16" t="n">
        <f aca="false">(H865-I865)*G865</f>
        <v>-710.000000000001</v>
      </c>
      <c r="L865" s="17" t="n">
        <f aca="false">IF(I865=0,0,H865/I865-1)</f>
        <v>-0.0306430729391455</v>
      </c>
      <c r="M865" s="14" t="n">
        <v>1</v>
      </c>
      <c r="N865" s="18" t="n">
        <v>0.046</v>
      </c>
    </row>
    <row r="866" customFormat="false" ht="15" hidden="false" customHeight="false" outlineLevel="0" collapsed="false">
      <c r="A866" s="12" t="s">
        <v>925</v>
      </c>
      <c r="B866" s="13" t="n">
        <v>45915</v>
      </c>
      <c r="C866" s="12" t="str">
        <f aca="false">TEXT(B866,"yyyy-mm")</f>
        <v>2025-09</v>
      </c>
      <c r="D866" s="12" t="s">
        <v>53</v>
      </c>
      <c r="E866" s="12" t="s">
        <v>49</v>
      </c>
      <c r="F866" s="12" t="s">
        <v>50</v>
      </c>
      <c r="G866" s="14" t="n">
        <v>400</v>
      </c>
      <c r="H866" s="15" t="n">
        <v>15.86</v>
      </c>
      <c r="I866" s="15" t="n">
        <v>15.85</v>
      </c>
      <c r="J866" s="16" t="n">
        <f aca="false">G866*H866</f>
        <v>6344</v>
      </c>
      <c r="K866" s="16" t="n">
        <f aca="false">(H866-I866)*G866</f>
        <v>3.99999999999991</v>
      </c>
      <c r="L866" s="17" t="n">
        <f aca="false">IF(I866=0,0,H866/I866-1)</f>
        <v>0.000630914826498463</v>
      </c>
      <c r="M866" s="14" t="n">
        <v>1</v>
      </c>
      <c r="N866" s="18" t="n">
        <v>0.019</v>
      </c>
    </row>
    <row r="867" customFormat="false" ht="15" hidden="false" customHeight="false" outlineLevel="0" collapsed="false">
      <c r="A867" s="12" t="s">
        <v>926</v>
      </c>
      <c r="B867" s="13" t="n">
        <v>45916</v>
      </c>
      <c r="C867" s="12" t="str">
        <f aca="false">TEXT(B867,"yyyy-mm")</f>
        <v>2025-09</v>
      </c>
      <c r="D867" s="12" t="s">
        <v>61</v>
      </c>
      <c r="E867" s="12" t="s">
        <v>36</v>
      </c>
      <c r="F867" s="12" t="s">
        <v>37</v>
      </c>
      <c r="G867" s="14" t="n">
        <v>800</v>
      </c>
      <c r="H867" s="15" t="n">
        <v>13.97</v>
      </c>
      <c r="I867" s="15" t="n">
        <v>14.05</v>
      </c>
      <c r="J867" s="16" t="n">
        <f aca="false">G867*H867</f>
        <v>11176</v>
      </c>
      <c r="K867" s="16" t="n">
        <f aca="false">(H867-I867)*G867</f>
        <v>-64.0000000000001</v>
      </c>
      <c r="L867" s="17" t="n">
        <f aca="false">IF(I867=0,0,H867/I867-1)</f>
        <v>-0.00569395017793595</v>
      </c>
      <c r="M867" s="14" t="n">
        <v>1</v>
      </c>
      <c r="N867" s="18" t="n">
        <v>0.012</v>
      </c>
    </row>
    <row r="868" customFormat="false" ht="15" hidden="false" customHeight="false" outlineLevel="0" collapsed="false">
      <c r="A868" s="12" t="s">
        <v>927</v>
      </c>
      <c r="B868" s="13" t="n">
        <v>45916</v>
      </c>
      <c r="C868" s="12" t="str">
        <f aca="false">TEXT(B868,"yyyy-mm")</f>
        <v>2025-09</v>
      </c>
      <c r="D868" s="12" t="s">
        <v>53</v>
      </c>
      <c r="E868" s="12" t="s">
        <v>54</v>
      </c>
      <c r="F868" s="12" t="s">
        <v>55</v>
      </c>
      <c r="G868" s="14" t="n">
        <v>600</v>
      </c>
      <c r="H868" s="15" t="n">
        <v>15.34</v>
      </c>
      <c r="I868" s="15" t="n">
        <v>15.46</v>
      </c>
      <c r="J868" s="16" t="n">
        <f aca="false">G868*H868</f>
        <v>9204</v>
      </c>
      <c r="K868" s="16" t="n">
        <f aca="false">(H868-I868)*G868</f>
        <v>-72.0000000000006</v>
      </c>
      <c r="L868" s="17" t="n">
        <f aca="false">IF(I868=0,0,H868/I868-1)</f>
        <v>-0.00776196636481252</v>
      </c>
      <c r="M868" s="14" t="n">
        <v>1</v>
      </c>
      <c r="N868" s="18" t="n">
        <v>0.018</v>
      </c>
    </row>
    <row r="869" customFormat="false" ht="15" hidden="false" customHeight="false" outlineLevel="0" collapsed="false">
      <c r="A869" s="12" t="s">
        <v>928</v>
      </c>
      <c r="B869" s="13" t="n">
        <v>45916</v>
      </c>
      <c r="C869" s="12" t="str">
        <f aca="false">TEXT(B869,"yyyy-mm")</f>
        <v>2025-09</v>
      </c>
      <c r="D869" s="12" t="s">
        <v>61</v>
      </c>
      <c r="E869" s="12" t="s">
        <v>36</v>
      </c>
      <c r="F869" s="12" t="s">
        <v>37</v>
      </c>
      <c r="G869" s="14" t="n">
        <v>600</v>
      </c>
      <c r="H869" s="15" t="n">
        <v>14.44</v>
      </c>
      <c r="I869" s="15" t="n">
        <v>14.16</v>
      </c>
      <c r="J869" s="16" t="n">
        <f aca="false">G869*H869</f>
        <v>8664</v>
      </c>
      <c r="K869" s="16" t="n">
        <f aca="false">(H869-I869)*G869</f>
        <v>168</v>
      </c>
      <c r="L869" s="17" t="n">
        <f aca="false">IF(I869=0,0,H869/I869-1)</f>
        <v>0.0197740112994349</v>
      </c>
      <c r="M869" s="14" t="n">
        <v>1</v>
      </c>
      <c r="N869" s="18" t="n">
        <v>0.001</v>
      </c>
    </row>
    <row r="870" customFormat="false" ht="15" hidden="false" customHeight="false" outlineLevel="0" collapsed="false">
      <c r="A870" s="12" t="s">
        <v>929</v>
      </c>
      <c r="B870" s="13" t="n">
        <v>45917</v>
      </c>
      <c r="C870" s="12" t="str">
        <f aca="false">TEXT(B870,"yyyy-mm")</f>
        <v>2025-09</v>
      </c>
      <c r="D870" s="12" t="s">
        <v>53</v>
      </c>
      <c r="E870" s="12" t="s">
        <v>54</v>
      </c>
      <c r="F870" s="12" t="s">
        <v>55</v>
      </c>
      <c r="G870" s="14" t="n">
        <v>1600</v>
      </c>
      <c r="H870" s="15" t="n">
        <v>15.12</v>
      </c>
      <c r="I870" s="15" t="n">
        <v>15.19</v>
      </c>
      <c r="J870" s="16" t="n">
        <f aca="false">G870*H870</f>
        <v>24192</v>
      </c>
      <c r="K870" s="16" t="n">
        <f aca="false">(H870-I870)*G870</f>
        <v>-112</v>
      </c>
      <c r="L870" s="17" t="n">
        <f aca="false">IF(I870=0,0,H870/I870-1)</f>
        <v>-0.00460829493087556</v>
      </c>
      <c r="M870" s="14" t="n">
        <v>1</v>
      </c>
      <c r="N870" s="18" t="n">
        <v>0.024</v>
      </c>
    </row>
    <row r="871" customFormat="false" ht="15" hidden="false" customHeight="false" outlineLevel="0" collapsed="false">
      <c r="A871" s="12" t="s">
        <v>930</v>
      </c>
      <c r="B871" s="13" t="n">
        <v>45917</v>
      </c>
      <c r="C871" s="12" t="str">
        <f aca="false">TEXT(B871,"yyyy-mm")</f>
        <v>2025-09</v>
      </c>
      <c r="D871" s="12" t="s">
        <v>39</v>
      </c>
      <c r="E871" s="12" t="s">
        <v>46</v>
      </c>
      <c r="F871" s="12" t="s">
        <v>47</v>
      </c>
      <c r="G871" s="14" t="n">
        <v>800</v>
      </c>
      <c r="H871" s="15" t="n">
        <v>18.96</v>
      </c>
      <c r="I871" s="15" t="n">
        <v>18.33</v>
      </c>
      <c r="J871" s="16" t="n">
        <f aca="false">G871*H871</f>
        <v>15168</v>
      </c>
      <c r="K871" s="16" t="n">
        <f aca="false">(H871-I871)*G871</f>
        <v>504.000000000002</v>
      </c>
      <c r="L871" s="17" t="n">
        <f aca="false">IF(I871=0,0,H871/I871-1)</f>
        <v>0.0343698854337153</v>
      </c>
      <c r="M871" s="14" t="n">
        <v>1</v>
      </c>
      <c r="N871" s="18" t="n">
        <v>0.01</v>
      </c>
    </row>
    <row r="872" customFormat="false" ht="15" hidden="false" customHeight="false" outlineLevel="0" collapsed="false">
      <c r="A872" s="12" t="s">
        <v>931</v>
      </c>
      <c r="B872" s="13" t="n">
        <v>45917</v>
      </c>
      <c r="C872" s="12" t="str">
        <f aca="false">TEXT(B872,"yyyy-mm")</f>
        <v>2025-09</v>
      </c>
      <c r="D872" s="12" t="s">
        <v>53</v>
      </c>
      <c r="E872" s="12" t="s">
        <v>54</v>
      </c>
      <c r="F872" s="12" t="s">
        <v>55</v>
      </c>
      <c r="G872" s="14" t="n">
        <v>600</v>
      </c>
      <c r="H872" s="15" t="n">
        <v>15.33</v>
      </c>
      <c r="I872" s="15" t="n">
        <v>15.16</v>
      </c>
      <c r="J872" s="16" t="n">
        <f aca="false">G872*H872</f>
        <v>9198</v>
      </c>
      <c r="K872" s="16" t="n">
        <f aca="false">(H872-I872)*G872</f>
        <v>102</v>
      </c>
      <c r="L872" s="17" t="n">
        <f aca="false">IF(I872=0,0,H872/I872-1)</f>
        <v>0.0112137203166227</v>
      </c>
      <c r="M872" s="14" t="n">
        <v>1</v>
      </c>
      <c r="N872" s="18" t="n">
        <v>0.016</v>
      </c>
    </row>
    <row r="873" customFormat="false" ht="15" hidden="false" customHeight="false" outlineLevel="0" collapsed="false">
      <c r="A873" s="12" t="s">
        <v>932</v>
      </c>
      <c r="B873" s="13" t="n">
        <v>45917</v>
      </c>
      <c r="C873" s="12" t="str">
        <f aca="false">TEXT(B873,"yyyy-mm")</f>
        <v>2025-09</v>
      </c>
      <c r="D873" s="12" t="s">
        <v>35</v>
      </c>
      <c r="E873" s="12" t="s">
        <v>36</v>
      </c>
      <c r="F873" s="12" t="s">
        <v>37</v>
      </c>
      <c r="G873" s="14" t="n">
        <v>2000</v>
      </c>
      <c r="H873" s="15" t="n">
        <v>16.66</v>
      </c>
      <c r="I873" s="15" t="n">
        <v>16.24</v>
      </c>
      <c r="J873" s="16" t="n">
        <f aca="false">G873*H873</f>
        <v>33320</v>
      </c>
      <c r="K873" s="16" t="n">
        <f aca="false">(H873-I873)*G873</f>
        <v>840.000000000003</v>
      </c>
      <c r="L873" s="17" t="n">
        <f aca="false">IF(I873=0,0,H873/I873-1)</f>
        <v>0.0258620689655174</v>
      </c>
      <c r="M873" s="14" t="n">
        <v>0</v>
      </c>
      <c r="N873" s="18" t="n">
        <v>0.017</v>
      </c>
    </row>
    <row r="874" customFormat="false" ht="15" hidden="false" customHeight="false" outlineLevel="0" collapsed="false">
      <c r="A874" s="12" t="s">
        <v>933</v>
      </c>
      <c r="B874" s="13" t="n">
        <v>45918</v>
      </c>
      <c r="C874" s="12" t="str">
        <f aca="false">TEXT(B874,"yyyy-mm")</f>
        <v>2025-09</v>
      </c>
      <c r="D874" s="12" t="s">
        <v>80</v>
      </c>
      <c r="E874" s="12" t="s">
        <v>81</v>
      </c>
      <c r="F874" s="12" t="s">
        <v>82</v>
      </c>
      <c r="G874" s="14" t="n">
        <v>200</v>
      </c>
      <c r="H874" s="15" t="n">
        <v>21.53</v>
      </c>
      <c r="I874" s="15" t="n">
        <v>22.4</v>
      </c>
      <c r="J874" s="16" t="n">
        <f aca="false">G874*H874</f>
        <v>4306</v>
      </c>
      <c r="K874" s="16" t="n">
        <f aca="false">(H874-I874)*G874</f>
        <v>-174</v>
      </c>
      <c r="L874" s="17" t="n">
        <f aca="false">IF(I874=0,0,H874/I874-1)</f>
        <v>-0.0388392857142856</v>
      </c>
      <c r="M874" s="14" t="n">
        <v>1</v>
      </c>
      <c r="N874" s="18" t="n">
        <v>0.037</v>
      </c>
    </row>
    <row r="875" customFormat="false" ht="15" hidden="false" customHeight="false" outlineLevel="0" collapsed="false">
      <c r="A875" s="12" t="s">
        <v>934</v>
      </c>
      <c r="B875" s="13" t="n">
        <v>45918</v>
      </c>
      <c r="C875" s="12" t="str">
        <f aca="false">TEXT(B875,"yyyy-mm")</f>
        <v>2025-09</v>
      </c>
      <c r="D875" s="12" t="s">
        <v>39</v>
      </c>
      <c r="E875" s="12" t="s">
        <v>46</v>
      </c>
      <c r="F875" s="12" t="s">
        <v>47</v>
      </c>
      <c r="G875" s="14" t="n">
        <v>1600</v>
      </c>
      <c r="H875" s="15" t="n">
        <v>19.3</v>
      </c>
      <c r="I875" s="15" t="n">
        <v>18.04</v>
      </c>
      <c r="J875" s="16" t="n">
        <f aca="false">G875*H875</f>
        <v>30880</v>
      </c>
      <c r="K875" s="16" t="n">
        <f aca="false">(H875-I875)*G875</f>
        <v>2016</v>
      </c>
      <c r="L875" s="17" t="n">
        <f aca="false">IF(I875=0,0,H875/I875-1)</f>
        <v>0.0698447893569845</v>
      </c>
      <c r="M875" s="14" t="n">
        <v>1</v>
      </c>
      <c r="N875" s="18" t="n">
        <v>0.009</v>
      </c>
    </row>
    <row r="876" customFormat="false" ht="15" hidden="false" customHeight="false" outlineLevel="0" collapsed="false">
      <c r="A876" s="12" t="s">
        <v>935</v>
      </c>
      <c r="B876" s="13" t="n">
        <v>45918</v>
      </c>
      <c r="C876" s="12" t="str">
        <f aca="false">TEXT(B876,"yyyy-mm")</f>
        <v>2025-09</v>
      </c>
      <c r="D876" s="12" t="s">
        <v>35</v>
      </c>
      <c r="E876" s="12" t="s">
        <v>43</v>
      </c>
      <c r="F876" s="12" t="s">
        <v>44</v>
      </c>
      <c r="G876" s="14" t="n">
        <v>3200</v>
      </c>
      <c r="H876" s="15" t="n">
        <v>17.24</v>
      </c>
      <c r="I876" s="15" t="n">
        <v>16.87</v>
      </c>
      <c r="J876" s="16" t="n">
        <f aca="false">G876*H876</f>
        <v>55168</v>
      </c>
      <c r="K876" s="16" t="n">
        <f aca="false">(H876-I876)*G876</f>
        <v>1183.99999999999</v>
      </c>
      <c r="L876" s="17" t="n">
        <f aca="false">IF(I876=0,0,H876/I876-1)</f>
        <v>0.0219324244220509</v>
      </c>
      <c r="M876" s="14" t="n">
        <v>1</v>
      </c>
      <c r="N876" s="18" t="n">
        <v>0.01</v>
      </c>
    </row>
    <row r="877" customFormat="false" ht="15" hidden="false" customHeight="false" outlineLevel="0" collapsed="false">
      <c r="A877" s="12" t="s">
        <v>936</v>
      </c>
      <c r="B877" s="13" t="n">
        <v>45919</v>
      </c>
      <c r="C877" s="12" t="str">
        <f aca="false">TEXT(B877,"yyyy-mm")</f>
        <v>2025-09</v>
      </c>
      <c r="D877" s="12" t="s">
        <v>61</v>
      </c>
      <c r="E877" s="12" t="s">
        <v>43</v>
      </c>
      <c r="F877" s="12" t="s">
        <v>44</v>
      </c>
      <c r="G877" s="14" t="n">
        <v>1600</v>
      </c>
      <c r="H877" s="15" t="n">
        <v>14.81</v>
      </c>
      <c r="I877" s="15" t="n">
        <v>14.06</v>
      </c>
      <c r="J877" s="16" t="n">
        <f aca="false">G877*H877</f>
        <v>23696</v>
      </c>
      <c r="K877" s="16" t="n">
        <f aca="false">(H877-I877)*G877</f>
        <v>1200</v>
      </c>
      <c r="L877" s="17" t="n">
        <f aca="false">IF(I877=0,0,H877/I877-1)</f>
        <v>0.0533428165007113</v>
      </c>
      <c r="M877" s="14" t="n">
        <v>1</v>
      </c>
      <c r="N877" s="18" t="n">
        <v>0.01</v>
      </c>
    </row>
    <row r="878" customFormat="false" ht="15" hidden="false" customHeight="false" outlineLevel="0" collapsed="false">
      <c r="A878" s="12" t="s">
        <v>937</v>
      </c>
      <c r="B878" s="13" t="n">
        <v>45920</v>
      </c>
      <c r="C878" s="12" t="str">
        <f aca="false">TEXT(B878,"yyyy-mm")</f>
        <v>2025-09</v>
      </c>
      <c r="D878" s="12" t="s">
        <v>53</v>
      </c>
      <c r="E878" s="12" t="s">
        <v>54</v>
      </c>
      <c r="F878" s="12" t="s">
        <v>55</v>
      </c>
      <c r="G878" s="14" t="n">
        <v>800</v>
      </c>
      <c r="H878" s="15" t="n">
        <v>15.84</v>
      </c>
      <c r="I878" s="15" t="n">
        <v>15.88</v>
      </c>
      <c r="J878" s="16" t="n">
        <f aca="false">G878*H878</f>
        <v>12672</v>
      </c>
      <c r="K878" s="16" t="n">
        <f aca="false">(H878-I878)*G878</f>
        <v>-32.0000000000007</v>
      </c>
      <c r="L878" s="17" t="n">
        <f aca="false">IF(I878=0,0,H878/I878-1)</f>
        <v>-0.00251889168765751</v>
      </c>
      <c r="M878" s="14" t="n">
        <v>1</v>
      </c>
      <c r="N878" s="18" t="n">
        <v>0.013</v>
      </c>
    </row>
    <row r="879" customFormat="false" ht="15" hidden="false" customHeight="false" outlineLevel="0" collapsed="false">
      <c r="A879" s="12" t="s">
        <v>938</v>
      </c>
      <c r="B879" s="13" t="n">
        <v>45920</v>
      </c>
      <c r="C879" s="12" t="str">
        <f aca="false">TEXT(B879,"yyyy-mm")</f>
        <v>2025-09</v>
      </c>
      <c r="D879" s="12" t="s">
        <v>39</v>
      </c>
      <c r="E879" s="12" t="s">
        <v>40</v>
      </c>
      <c r="F879" s="12" t="s">
        <v>41</v>
      </c>
      <c r="G879" s="14" t="n">
        <v>1000</v>
      </c>
      <c r="H879" s="15" t="n">
        <v>19.17</v>
      </c>
      <c r="I879" s="15" t="n">
        <v>18.95</v>
      </c>
      <c r="J879" s="16" t="n">
        <f aca="false">G879*H879</f>
        <v>19170</v>
      </c>
      <c r="K879" s="16" t="n">
        <f aca="false">(H879-I879)*G879</f>
        <v>220.000000000002</v>
      </c>
      <c r="L879" s="17" t="n">
        <f aca="false">IF(I879=0,0,H879/I879-1)</f>
        <v>0.0116094986807389</v>
      </c>
      <c r="M879" s="14" t="n">
        <v>1</v>
      </c>
      <c r="N879" s="18" t="n">
        <v>0.029</v>
      </c>
    </row>
    <row r="880" customFormat="false" ht="15" hidden="false" customHeight="false" outlineLevel="0" collapsed="false">
      <c r="A880" s="12" t="s">
        <v>939</v>
      </c>
      <c r="B880" s="13" t="n">
        <v>45920</v>
      </c>
      <c r="C880" s="12" t="str">
        <f aca="false">TEXT(B880,"yyyy-mm")</f>
        <v>2025-09</v>
      </c>
      <c r="D880" s="12" t="s">
        <v>80</v>
      </c>
      <c r="E880" s="12" t="s">
        <v>76</v>
      </c>
      <c r="F880" s="12" t="s">
        <v>77</v>
      </c>
      <c r="G880" s="14" t="n">
        <v>1600</v>
      </c>
      <c r="H880" s="15" t="n">
        <v>23.44</v>
      </c>
      <c r="I880" s="15" t="n">
        <v>23.22</v>
      </c>
      <c r="J880" s="16" t="n">
        <f aca="false">G880*H880</f>
        <v>37504</v>
      </c>
      <c r="K880" s="16" t="n">
        <f aca="false">(H880-I880)*G880</f>
        <v>352.000000000004</v>
      </c>
      <c r="L880" s="17" t="n">
        <f aca="false">IF(I880=0,0,H880/I880-1)</f>
        <v>0.00947459086993985</v>
      </c>
      <c r="M880" s="14" t="n">
        <v>1</v>
      </c>
      <c r="N880" s="18" t="n">
        <v>0.018</v>
      </c>
    </row>
    <row r="881" customFormat="false" ht="15" hidden="false" customHeight="false" outlineLevel="0" collapsed="false">
      <c r="A881" s="12" t="s">
        <v>940</v>
      </c>
      <c r="B881" s="13" t="n">
        <v>45920</v>
      </c>
      <c r="C881" s="12" t="str">
        <f aca="false">TEXT(B881,"yyyy-mm")</f>
        <v>2025-09</v>
      </c>
      <c r="D881" s="12" t="s">
        <v>39</v>
      </c>
      <c r="E881" s="12" t="s">
        <v>49</v>
      </c>
      <c r="F881" s="12" t="s">
        <v>50</v>
      </c>
      <c r="G881" s="14" t="n">
        <v>400</v>
      </c>
      <c r="H881" s="15" t="n">
        <v>18.62</v>
      </c>
      <c r="I881" s="15" t="n">
        <v>18.32</v>
      </c>
      <c r="J881" s="16" t="n">
        <f aca="false">G881*H881</f>
        <v>7448</v>
      </c>
      <c r="K881" s="16" t="n">
        <f aca="false">(H881-I881)*G881</f>
        <v>120</v>
      </c>
      <c r="L881" s="17" t="n">
        <f aca="false">IF(I881=0,0,H881/I881-1)</f>
        <v>0.0163755458515285</v>
      </c>
      <c r="M881" s="14" t="n">
        <v>1</v>
      </c>
      <c r="N881" s="18" t="n">
        <v>0.028</v>
      </c>
    </row>
    <row r="882" customFormat="false" ht="15" hidden="false" customHeight="false" outlineLevel="0" collapsed="false">
      <c r="A882" s="12" t="s">
        <v>941</v>
      </c>
      <c r="B882" s="13" t="n">
        <v>45920</v>
      </c>
      <c r="C882" s="12" t="str">
        <f aca="false">TEXT(B882,"yyyy-mm")</f>
        <v>2025-09</v>
      </c>
      <c r="D882" s="12" t="s">
        <v>35</v>
      </c>
      <c r="E882" s="12" t="s">
        <v>43</v>
      </c>
      <c r="F882" s="12" t="s">
        <v>44</v>
      </c>
      <c r="G882" s="14" t="n">
        <v>4000</v>
      </c>
      <c r="H882" s="15" t="n">
        <v>17.93</v>
      </c>
      <c r="I882" s="15" t="n">
        <v>16.75</v>
      </c>
      <c r="J882" s="16" t="n">
        <f aca="false">G882*H882</f>
        <v>71720</v>
      </c>
      <c r="K882" s="16" t="n">
        <f aca="false">(H882-I882)*G882</f>
        <v>4720</v>
      </c>
      <c r="L882" s="17" t="n">
        <f aca="false">IF(I882=0,0,H882/I882-1)</f>
        <v>0.0704477611940297</v>
      </c>
      <c r="M882" s="14" t="n">
        <v>0</v>
      </c>
      <c r="N882" s="18" t="n">
        <v>0.008</v>
      </c>
    </row>
    <row r="883" customFormat="false" ht="15" hidden="false" customHeight="false" outlineLevel="0" collapsed="false">
      <c r="A883" s="12" t="s">
        <v>942</v>
      </c>
      <c r="B883" s="13" t="n">
        <v>45921</v>
      </c>
      <c r="C883" s="12" t="str">
        <f aca="false">TEXT(B883,"yyyy-mm")</f>
        <v>2025-09</v>
      </c>
      <c r="D883" s="12" t="s">
        <v>61</v>
      </c>
      <c r="E883" s="12" t="s">
        <v>43</v>
      </c>
      <c r="F883" s="12" t="s">
        <v>44</v>
      </c>
      <c r="G883" s="14" t="n">
        <v>1200</v>
      </c>
      <c r="H883" s="15" t="n">
        <v>14.76</v>
      </c>
      <c r="I883" s="15" t="n">
        <v>14.34</v>
      </c>
      <c r="J883" s="16" t="n">
        <f aca="false">G883*H883</f>
        <v>17712</v>
      </c>
      <c r="K883" s="16" t="n">
        <f aca="false">(H883-I883)*G883</f>
        <v>504</v>
      </c>
      <c r="L883" s="17" t="n">
        <f aca="false">IF(I883=0,0,H883/I883-1)</f>
        <v>0.0292887029288702</v>
      </c>
      <c r="M883" s="14" t="n">
        <v>1</v>
      </c>
      <c r="N883" s="18" t="n">
        <v>0.016</v>
      </c>
    </row>
    <row r="884" customFormat="false" ht="15" hidden="false" customHeight="false" outlineLevel="0" collapsed="false">
      <c r="A884" s="12" t="s">
        <v>943</v>
      </c>
      <c r="B884" s="13" t="n">
        <v>45922</v>
      </c>
      <c r="C884" s="12" t="str">
        <f aca="false">TEXT(B884,"yyyy-mm")</f>
        <v>2025-09</v>
      </c>
      <c r="D884" s="12" t="s">
        <v>53</v>
      </c>
      <c r="E884" s="12" t="s">
        <v>54</v>
      </c>
      <c r="F884" s="12" t="s">
        <v>55</v>
      </c>
      <c r="G884" s="14" t="n">
        <v>800</v>
      </c>
      <c r="H884" s="15" t="n">
        <v>15.27</v>
      </c>
      <c r="I884" s="15" t="n">
        <v>15.05</v>
      </c>
      <c r="J884" s="16" t="n">
        <f aca="false">G884*H884</f>
        <v>12216</v>
      </c>
      <c r="K884" s="16" t="n">
        <f aca="false">(H884-I884)*G884</f>
        <v>175.999999999999</v>
      </c>
      <c r="L884" s="17" t="n">
        <f aca="false">IF(I884=0,0,H884/I884-1)</f>
        <v>0.0146179401993354</v>
      </c>
      <c r="M884" s="14" t="n">
        <v>1</v>
      </c>
      <c r="N884" s="18" t="n">
        <v>0.017</v>
      </c>
    </row>
    <row r="885" customFormat="false" ht="15" hidden="false" customHeight="false" outlineLevel="0" collapsed="false">
      <c r="A885" s="12" t="s">
        <v>944</v>
      </c>
      <c r="B885" s="13" t="n">
        <v>45922</v>
      </c>
      <c r="C885" s="12" t="str">
        <f aca="false">TEXT(B885,"yyyy-mm")</f>
        <v>2025-09</v>
      </c>
      <c r="D885" s="12" t="s">
        <v>35</v>
      </c>
      <c r="E885" s="12" t="s">
        <v>43</v>
      </c>
      <c r="F885" s="12" t="s">
        <v>44</v>
      </c>
      <c r="G885" s="14" t="n">
        <v>800</v>
      </c>
      <c r="H885" s="15" t="n">
        <v>16.19</v>
      </c>
      <c r="I885" s="15" t="n">
        <v>16.09</v>
      </c>
      <c r="J885" s="16" t="n">
        <f aca="false">G885*H885</f>
        <v>12952</v>
      </c>
      <c r="K885" s="16" t="n">
        <f aca="false">(H885-I885)*G885</f>
        <v>80.0000000000011</v>
      </c>
      <c r="L885" s="17" t="n">
        <f aca="false">IF(I885=0,0,H885/I885-1)</f>
        <v>0.00621504039776277</v>
      </c>
      <c r="M885" s="14" t="n">
        <v>1</v>
      </c>
      <c r="N885" s="18" t="n">
        <v>0.013</v>
      </c>
    </row>
    <row r="886" customFormat="false" ht="15" hidden="false" customHeight="false" outlineLevel="0" collapsed="false">
      <c r="A886" s="12" t="s">
        <v>945</v>
      </c>
      <c r="B886" s="13" t="n">
        <v>45922</v>
      </c>
      <c r="C886" s="12" t="str">
        <f aca="false">TEXT(B886,"yyyy-mm")</f>
        <v>2025-09</v>
      </c>
      <c r="D886" s="12" t="s">
        <v>75</v>
      </c>
      <c r="E886" s="12" t="s">
        <v>76</v>
      </c>
      <c r="F886" s="12" t="s">
        <v>77</v>
      </c>
      <c r="G886" s="14" t="n">
        <v>600</v>
      </c>
      <c r="H886" s="15" t="n">
        <v>24.85</v>
      </c>
      <c r="I886" s="15" t="n">
        <v>25.2</v>
      </c>
      <c r="J886" s="16" t="n">
        <f aca="false">G886*H886</f>
        <v>14910</v>
      </c>
      <c r="K886" s="16" t="n">
        <f aca="false">(H886-I886)*G886</f>
        <v>-209.999999999999</v>
      </c>
      <c r="L886" s="17" t="n">
        <f aca="false">IF(I886=0,0,H886/I886-1)</f>
        <v>-0.0138888888888888</v>
      </c>
      <c r="M886" s="14" t="n">
        <v>1</v>
      </c>
      <c r="N886" s="18" t="n">
        <v>0.021</v>
      </c>
    </row>
    <row r="887" customFormat="false" ht="15" hidden="false" customHeight="false" outlineLevel="0" collapsed="false">
      <c r="A887" s="12" t="s">
        <v>946</v>
      </c>
      <c r="B887" s="13" t="n">
        <v>45923</v>
      </c>
      <c r="C887" s="12" t="str">
        <f aca="false">TEXT(B887,"yyyy-mm")</f>
        <v>2025-09</v>
      </c>
      <c r="D887" s="12" t="s">
        <v>35</v>
      </c>
      <c r="E887" s="12" t="s">
        <v>43</v>
      </c>
      <c r="F887" s="12" t="s">
        <v>44</v>
      </c>
      <c r="G887" s="14" t="n">
        <v>3200</v>
      </c>
      <c r="H887" s="15" t="n">
        <v>17.18</v>
      </c>
      <c r="I887" s="15" t="n">
        <v>16.59</v>
      </c>
      <c r="J887" s="16" t="n">
        <f aca="false">G887*H887</f>
        <v>54976</v>
      </c>
      <c r="K887" s="16" t="n">
        <f aca="false">(H887-I887)*G887</f>
        <v>1888</v>
      </c>
      <c r="L887" s="17" t="n">
        <f aca="false">IF(I887=0,0,H887/I887-1)</f>
        <v>0.0355635925256179</v>
      </c>
      <c r="M887" s="14" t="n">
        <v>1</v>
      </c>
      <c r="N887" s="18" t="n">
        <v>0.01</v>
      </c>
    </row>
    <row r="888" customFormat="false" ht="15" hidden="false" customHeight="false" outlineLevel="0" collapsed="false">
      <c r="A888" s="12" t="s">
        <v>947</v>
      </c>
      <c r="B888" s="13" t="n">
        <v>45923</v>
      </c>
      <c r="C888" s="12" t="str">
        <f aca="false">TEXT(B888,"yyyy-mm")</f>
        <v>2025-09</v>
      </c>
      <c r="D888" s="12" t="s">
        <v>80</v>
      </c>
      <c r="E888" s="12" t="s">
        <v>81</v>
      </c>
      <c r="F888" s="12" t="s">
        <v>82</v>
      </c>
      <c r="G888" s="14" t="n">
        <v>2000</v>
      </c>
      <c r="H888" s="15" t="n">
        <v>22.24</v>
      </c>
      <c r="I888" s="15" t="n">
        <v>23.08</v>
      </c>
      <c r="J888" s="16" t="n">
        <f aca="false">G888*H888</f>
        <v>44480</v>
      </c>
      <c r="K888" s="16" t="n">
        <f aca="false">(H888-I888)*G888</f>
        <v>-1680</v>
      </c>
      <c r="L888" s="17" t="n">
        <f aca="false">IF(I888=0,0,H888/I888-1)</f>
        <v>-0.0363951473136915</v>
      </c>
      <c r="M888" s="14" t="n">
        <v>0</v>
      </c>
      <c r="N888" s="18" t="n">
        <v>0.044</v>
      </c>
    </row>
    <row r="889" customFormat="false" ht="15" hidden="false" customHeight="false" outlineLevel="0" collapsed="false">
      <c r="A889" s="12" t="s">
        <v>948</v>
      </c>
      <c r="B889" s="13" t="n">
        <v>45923</v>
      </c>
      <c r="C889" s="12" t="str">
        <f aca="false">TEXT(B889,"yyyy-mm")</f>
        <v>2025-09</v>
      </c>
      <c r="D889" s="12" t="s">
        <v>80</v>
      </c>
      <c r="E889" s="12" t="s">
        <v>92</v>
      </c>
      <c r="F889" s="12" t="s">
        <v>93</v>
      </c>
      <c r="G889" s="14" t="n">
        <v>1200</v>
      </c>
      <c r="H889" s="15" t="n">
        <v>20.33</v>
      </c>
      <c r="I889" s="15" t="n">
        <v>22.27</v>
      </c>
      <c r="J889" s="16" t="n">
        <f aca="false">G889*H889</f>
        <v>24396</v>
      </c>
      <c r="K889" s="16" t="n">
        <f aca="false">(H889-I889)*G889</f>
        <v>-2328</v>
      </c>
      <c r="L889" s="17" t="n">
        <f aca="false">IF(I889=0,0,H889/I889-1)</f>
        <v>-0.0871127076784913</v>
      </c>
      <c r="M889" s="14" t="n">
        <v>1</v>
      </c>
      <c r="N889" s="18" t="n">
        <v>0.047</v>
      </c>
    </row>
    <row r="890" customFormat="false" ht="15" hidden="false" customHeight="false" outlineLevel="0" collapsed="false">
      <c r="A890" s="12" t="s">
        <v>949</v>
      </c>
      <c r="B890" s="13" t="n">
        <v>45923</v>
      </c>
      <c r="C890" s="12" t="str">
        <f aca="false">TEXT(B890,"yyyy-mm")</f>
        <v>2025-09</v>
      </c>
      <c r="D890" s="12" t="s">
        <v>53</v>
      </c>
      <c r="E890" s="12" t="s">
        <v>49</v>
      </c>
      <c r="F890" s="12" t="s">
        <v>50</v>
      </c>
      <c r="G890" s="14" t="n">
        <v>400</v>
      </c>
      <c r="H890" s="15" t="n">
        <v>15.53</v>
      </c>
      <c r="I890" s="15" t="n">
        <v>15.29</v>
      </c>
      <c r="J890" s="16" t="n">
        <f aca="false">G890*H890</f>
        <v>6212</v>
      </c>
      <c r="K890" s="16" t="n">
        <f aca="false">(H890-I890)*G890</f>
        <v>96.0000000000001</v>
      </c>
      <c r="L890" s="17" t="n">
        <f aca="false">IF(I890=0,0,H890/I890-1)</f>
        <v>0.0156965336821453</v>
      </c>
      <c r="M890" s="14" t="n">
        <v>1</v>
      </c>
      <c r="N890" s="18" t="n">
        <v>0.024</v>
      </c>
    </row>
    <row r="891" customFormat="false" ht="15" hidden="false" customHeight="false" outlineLevel="0" collapsed="false">
      <c r="A891" s="12" t="s">
        <v>950</v>
      </c>
      <c r="B891" s="13" t="n">
        <v>45924</v>
      </c>
      <c r="C891" s="12" t="str">
        <f aca="false">TEXT(B891,"yyyy-mm")</f>
        <v>2025-09</v>
      </c>
      <c r="D891" s="12" t="s">
        <v>53</v>
      </c>
      <c r="E891" s="12" t="s">
        <v>54</v>
      </c>
      <c r="F891" s="12" t="s">
        <v>55</v>
      </c>
      <c r="G891" s="14" t="n">
        <v>600</v>
      </c>
      <c r="H891" s="15" t="n">
        <v>16.08</v>
      </c>
      <c r="I891" s="15" t="n">
        <v>15.2</v>
      </c>
      <c r="J891" s="16" t="n">
        <f aca="false">G891*H891</f>
        <v>9648</v>
      </c>
      <c r="K891" s="16" t="n">
        <f aca="false">(H891-I891)*G891</f>
        <v>527.999999999999</v>
      </c>
      <c r="L891" s="17" t="n">
        <f aca="false">IF(I891=0,0,H891/I891-1)</f>
        <v>0.0578947368421052</v>
      </c>
      <c r="M891" s="14" t="n">
        <v>1</v>
      </c>
      <c r="N891" s="18" t="n">
        <v>0.016</v>
      </c>
    </row>
    <row r="892" customFormat="false" ht="15" hidden="false" customHeight="false" outlineLevel="0" collapsed="false">
      <c r="A892" s="12" t="s">
        <v>951</v>
      </c>
      <c r="B892" s="13" t="n">
        <v>45924</v>
      </c>
      <c r="C892" s="12" t="str">
        <f aca="false">TEXT(B892,"yyyy-mm")</f>
        <v>2025-09</v>
      </c>
      <c r="D892" s="12" t="s">
        <v>61</v>
      </c>
      <c r="E892" s="12" t="s">
        <v>43</v>
      </c>
      <c r="F892" s="12" t="s">
        <v>44</v>
      </c>
      <c r="G892" s="14" t="n">
        <v>1000</v>
      </c>
      <c r="H892" s="15" t="n">
        <v>14.52</v>
      </c>
      <c r="I892" s="15" t="n">
        <v>14.21</v>
      </c>
      <c r="J892" s="16" t="n">
        <f aca="false">G892*H892</f>
        <v>14520</v>
      </c>
      <c r="K892" s="16" t="n">
        <f aca="false">(H892-I892)*G892</f>
        <v>309.999999999999</v>
      </c>
      <c r="L892" s="17" t="n">
        <f aca="false">IF(I892=0,0,H892/I892-1)</f>
        <v>0.0218156228008444</v>
      </c>
      <c r="M892" s="14" t="n">
        <v>1</v>
      </c>
      <c r="N892" s="18" t="n">
        <v>0.014</v>
      </c>
    </row>
    <row r="893" customFormat="false" ht="15" hidden="false" customHeight="false" outlineLevel="0" collapsed="false">
      <c r="A893" s="12" t="s">
        <v>952</v>
      </c>
      <c r="B893" s="13" t="n">
        <v>45924</v>
      </c>
      <c r="C893" s="12" t="str">
        <f aca="false">TEXT(B893,"yyyy-mm")</f>
        <v>2025-09</v>
      </c>
      <c r="D893" s="12" t="s">
        <v>39</v>
      </c>
      <c r="E893" s="12" t="s">
        <v>46</v>
      </c>
      <c r="F893" s="12" t="s">
        <v>47</v>
      </c>
      <c r="G893" s="14" t="n">
        <v>800</v>
      </c>
      <c r="H893" s="15" t="n">
        <v>20.08</v>
      </c>
      <c r="I893" s="15" t="n">
        <v>18.41</v>
      </c>
      <c r="J893" s="16" t="n">
        <f aca="false">G893*H893</f>
        <v>16064</v>
      </c>
      <c r="K893" s="16" t="n">
        <f aca="false">(H893-I893)*G893</f>
        <v>1336</v>
      </c>
      <c r="L893" s="17" t="n">
        <f aca="false">IF(I893=0,0,H893/I893-1)</f>
        <v>0.0907115697990222</v>
      </c>
      <c r="M893" s="14" t="n">
        <v>1</v>
      </c>
      <c r="N893" s="18" t="n">
        <v>0.007</v>
      </c>
    </row>
    <row r="894" customFormat="false" ht="15" hidden="false" customHeight="false" outlineLevel="0" collapsed="false">
      <c r="A894" s="12" t="s">
        <v>953</v>
      </c>
      <c r="B894" s="13" t="n">
        <v>45924</v>
      </c>
      <c r="C894" s="12" t="str">
        <f aca="false">TEXT(B894,"yyyy-mm")</f>
        <v>2025-09</v>
      </c>
      <c r="D894" s="12" t="s">
        <v>75</v>
      </c>
      <c r="E894" s="12" t="s">
        <v>49</v>
      </c>
      <c r="F894" s="12" t="s">
        <v>50</v>
      </c>
      <c r="G894" s="14" t="n">
        <v>600</v>
      </c>
      <c r="H894" s="15" t="n">
        <v>24.21</v>
      </c>
      <c r="I894" s="15" t="n">
        <v>24.86</v>
      </c>
      <c r="J894" s="16" t="n">
        <f aca="false">G894*H894</f>
        <v>14526</v>
      </c>
      <c r="K894" s="16" t="n">
        <f aca="false">(H894-I894)*G894</f>
        <v>-389.999999999999</v>
      </c>
      <c r="L894" s="17" t="n">
        <f aca="false">IF(I894=0,0,H894/I894-1)</f>
        <v>-0.0261464199517296</v>
      </c>
      <c r="M894" s="14" t="n">
        <v>0</v>
      </c>
      <c r="N894" s="18" t="n">
        <v>0.03</v>
      </c>
    </row>
    <row r="895" customFormat="false" ht="15" hidden="false" customHeight="false" outlineLevel="0" collapsed="false">
      <c r="A895" s="12" t="s">
        <v>954</v>
      </c>
      <c r="B895" s="13" t="n">
        <v>45925</v>
      </c>
      <c r="C895" s="12" t="str">
        <f aca="false">TEXT(B895,"yyyy-mm")</f>
        <v>2025-09</v>
      </c>
      <c r="D895" s="12" t="s">
        <v>53</v>
      </c>
      <c r="E895" s="12" t="s">
        <v>54</v>
      </c>
      <c r="F895" s="12" t="s">
        <v>55</v>
      </c>
      <c r="G895" s="14" t="n">
        <v>1200</v>
      </c>
      <c r="H895" s="15" t="n">
        <v>15.88</v>
      </c>
      <c r="I895" s="15" t="n">
        <v>15.13</v>
      </c>
      <c r="J895" s="16" t="n">
        <f aca="false">G895*H895</f>
        <v>19056</v>
      </c>
      <c r="K895" s="16" t="n">
        <f aca="false">(H895-I895)*G895</f>
        <v>900</v>
      </c>
      <c r="L895" s="17" t="n">
        <f aca="false">IF(I895=0,0,H895/I895-1)</f>
        <v>0.0495703899537343</v>
      </c>
      <c r="M895" s="14" t="n">
        <v>0</v>
      </c>
      <c r="N895" s="18" t="n">
        <v>0.009</v>
      </c>
    </row>
    <row r="896" customFormat="false" ht="15" hidden="false" customHeight="false" outlineLevel="0" collapsed="false">
      <c r="A896" s="12" t="s">
        <v>955</v>
      </c>
      <c r="B896" s="13" t="n">
        <v>45925</v>
      </c>
      <c r="C896" s="12" t="str">
        <f aca="false">TEXT(B896,"yyyy-mm")</f>
        <v>2025-09</v>
      </c>
      <c r="D896" s="12" t="s">
        <v>53</v>
      </c>
      <c r="E896" s="12" t="s">
        <v>54</v>
      </c>
      <c r="F896" s="12" t="s">
        <v>55</v>
      </c>
      <c r="G896" s="14" t="n">
        <v>800</v>
      </c>
      <c r="H896" s="15" t="n">
        <v>15.67</v>
      </c>
      <c r="I896" s="15" t="n">
        <v>15.28</v>
      </c>
      <c r="J896" s="16" t="n">
        <f aca="false">G896*H896</f>
        <v>12536</v>
      </c>
      <c r="K896" s="16" t="n">
        <f aca="false">(H896-I896)*G896</f>
        <v>312</v>
      </c>
      <c r="L896" s="17" t="n">
        <f aca="false">IF(I896=0,0,H896/I896-1)</f>
        <v>0.0255235602094241</v>
      </c>
      <c r="M896" s="14" t="n">
        <v>0</v>
      </c>
      <c r="N896" s="18" t="n">
        <v>0.017</v>
      </c>
    </row>
    <row r="897" customFormat="false" ht="15" hidden="false" customHeight="false" outlineLevel="0" collapsed="false">
      <c r="A897" s="12" t="s">
        <v>956</v>
      </c>
      <c r="B897" s="13" t="n">
        <v>45925</v>
      </c>
      <c r="C897" s="12" t="str">
        <f aca="false">TEXT(B897,"yyyy-mm")</f>
        <v>2025-09</v>
      </c>
      <c r="D897" s="12" t="s">
        <v>61</v>
      </c>
      <c r="E897" s="12" t="s">
        <v>36</v>
      </c>
      <c r="F897" s="12" t="s">
        <v>37</v>
      </c>
      <c r="G897" s="14" t="n">
        <v>1200</v>
      </c>
      <c r="H897" s="15" t="n">
        <v>14.06</v>
      </c>
      <c r="I897" s="15" t="n">
        <v>14.19</v>
      </c>
      <c r="J897" s="16" t="n">
        <f aca="false">G897*H897</f>
        <v>16872</v>
      </c>
      <c r="K897" s="16" t="n">
        <f aca="false">(H897-I897)*G897</f>
        <v>-155.999999999999</v>
      </c>
      <c r="L897" s="17" t="n">
        <f aca="false">IF(I897=0,0,H897/I897-1)</f>
        <v>-0.00916138125440447</v>
      </c>
      <c r="M897" s="14" t="n">
        <v>1</v>
      </c>
      <c r="N897" s="18" t="n">
        <v>0.025</v>
      </c>
    </row>
    <row r="898" customFormat="false" ht="15" hidden="false" customHeight="false" outlineLevel="0" collapsed="false">
      <c r="A898" s="12" t="s">
        <v>957</v>
      </c>
      <c r="B898" s="13" t="n">
        <v>45925</v>
      </c>
      <c r="C898" s="12" t="str">
        <f aca="false">TEXT(B898,"yyyy-mm")</f>
        <v>2025-09</v>
      </c>
      <c r="D898" s="12" t="s">
        <v>111</v>
      </c>
      <c r="E898" s="12" t="s">
        <v>76</v>
      </c>
      <c r="F898" s="12" t="s">
        <v>77</v>
      </c>
      <c r="G898" s="14" t="n">
        <v>1000</v>
      </c>
      <c r="H898" s="15" t="n">
        <v>19.39</v>
      </c>
      <c r="I898" s="15" t="n">
        <v>19.6</v>
      </c>
      <c r="J898" s="16" t="n">
        <f aca="false">G898*H898</f>
        <v>19390</v>
      </c>
      <c r="K898" s="16" t="n">
        <f aca="false">(H898-I898)*G898</f>
        <v>-210.000000000001</v>
      </c>
      <c r="L898" s="17" t="n">
        <f aca="false">IF(I898=0,0,H898/I898-1)</f>
        <v>-0.0107142857142858</v>
      </c>
      <c r="M898" s="14" t="n">
        <v>1</v>
      </c>
      <c r="N898" s="18" t="n">
        <v>0.036</v>
      </c>
    </row>
    <row r="899" customFormat="false" ht="15" hidden="false" customHeight="false" outlineLevel="0" collapsed="false">
      <c r="A899" s="12" t="s">
        <v>958</v>
      </c>
      <c r="B899" s="13" t="n">
        <v>45925</v>
      </c>
      <c r="C899" s="12" t="str">
        <f aca="false">TEXT(B899,"yyyy-mm")</f>
        <v>2025-09</v>
      </c>
      <c r="D899" s="12" t="s">
        <v>80</v>
      </c>
      <c r="E899" s="12" t="s">
        <v>81</v>
      </c>
      <c r="F899" s="12" t="s">
        <v>82</v>
      </c>
      <c r="G899" s="14" t="n">
        <v>600</v>
      </c>
      <c r="H899" s="15" t="n">
        <v>22.32</v>
      </c>
      <c r="I899" s="15" t="n">
        <v>22.78</v>
      </c>
      <c r="J899" s="16" t="n">
        <f aca="false">G899*H899</f>
        <v>13392</v>
      </c>
      <c r="K899" s="16" t="n">
        <f aca="false">(H899-I899)*G899</f>
        <v>-276.000000000001</v>
      </c>
      <c r="L899" s="17" t="n">
        <f aca="false">IF(I899=0,0,H899/I899-1)</f>
        <v>-0.0201931518876207</v>
      </c>
      <c r="M899" s="14" t="n">
        <v>1</v>
      </c>
      <c r="N899" s="18" t="n">
        <v>0.039</v>
      </c>
    </row>
    <row r="900" customFormat="false" ht="15" hidden="false" customHeight="false" outlineLevel="0" collapsed="false">
      <c r="A900" s="12" t="s">
        <v>959</v>
      </c>
      <c r="B900" s="13" t="n">
        <v>45925</v>
      </c>
      <c r="C900" s="12" t="str">
        <f aca="false">TEXT(B900,"yyyy-mm")</f>
        <v>2025-09</v>
      </c>
      <c r="D900" s="12" t="s">
        <v>53</v>
      </c>
      <c r="E900" s="12" t="s">
        <v>49</v>
      </c>
      <c r="F900" s="12" t="s">
        <v>50</v>
      </c>
      <c r="G900" s="14" t="n">
        <v>2000</v>
      </c>
      <c r="H900" s="15" t="n">
        <v>14.86</v>
      </c>
      <c r="I900" s="15" t="n">
        <v>15.31</v>
      </c>
      <c r="J900" s="16" t="n">
        <f aca="false">G900*H900</f>
        <v>29720</v>
      </c>
      <c r="K900" s="16" t="n">
        <f aca="false">(H900-I900)*G900</f>
        <v>-900.000000000002</v>
      </c>
      <c r="L900" s="17" t="n">
        <f aca="false">IF(I900=0,0,H900/I900-1)</f>
        <v>-0.0293925538863489</v>
      </c>
      <c r="M900" s="14" t="n">
        <v>1</v>
      </c>
      <c r="N900" s="18" t="n">
        <v>0.027</v>
      </c>
    </row>
    <row r="901" customFormat="false" ht="15" hidden="false" customHeight="false" outlineLevel="0" collapsed="false">
      <c r="A901" s="12" t="s">
        <v>960</v>
      </c>
      <c r="B901" s="13" t="n">
        <v>45926</v>
      </c>
      <c r="C901" s="12" t="str">
        <f aca="false">TEXT(B901,"yyyy-mm")</f>
        <v>2025-09</v>
      </c>
      <c r="D901" s="12" t="s">
        <v>61</v>
      </c>
      <c r="E901" s="12" t="s">
        <v>43</v>
      </c>
      <c r="F901" s="12" t="s">
        <v>44</v>
      </c>
      <c r="G901" s="14" t="n">
        <v>2000</v>
      </c>
      <c r="H901" s="15" t="n">
        <v>14.76</v>
      </c>
      <c r="I901" s="15" t="n">
        <v>14.42</v>
      </c>
      <c r="J901" s="16" t="n">
        <f aca="false">G901*H901</f>
        <v>29520</v>
      </c>
      <c r="K901" s="16" t="n">
        <f aca="false">(H901-I901)*G901</f>
        <v>680</v>
      </c>
      <c r="L901" s="17" t="n">
        <f aca="false">IF(I901=0,0,H901/I901-1)</f>
        <v>0.0235783633841886</v>
      </c>
      <c r="M901" s="14" t="n">
        <v>1</v>
      </c>
      <c r="N901" s="18" t="n">
        <v>0.009</v>
      </c>
    </row>
    <row r="902" customFormat="false" ht="15" hidden="false" customHeight="false" outlineLevel="0" collapsed="false">
      <c r="A902" s="12" t="s">
        <v>961</v>
      </c>
      <c r="B902" s="13" t="n">
        <v>45926</v>
      </c>
      <c r="C902" s="12" t="str">
        <f aca="false">TEXT(B902,"yyyy-mm")</f>
        <v>2025-09</v>
      </c>
      <c r="D902" s="12" t="s">
        <v>58</v>
      </c>
      <c r="E902" s="12" t="s">
        <v>59</v>
      </c>
      <c r="F902" s="12" t="s">
        <v>55</v>
      </c>
      <c r="G902" s="14" t="n">
        <v>200</v>
      </c>
      <c r="H902" s="15" t="n">
        <v>33.58</v>
      </c>
      <c r="I902" s="15" t="n">
        <v>31.37</v>
      </c>
      <c r="J902" s="16" t="n">
        <f aca="false">G902*H902</f>
        <v>6716</v>
      </c>
      <c r="K902" s="16" t="n">
        <f aca="false">(H902-I902)*G902</f>
        <v>441.999999999999</v>
      </c>
      <c r="L902" s="17" t="n">
        <f aca="false">IF(I902=0,0,H902/I902-1)</f>
        <v>0.0704494740197641</v>
      </c>
      <c r="M902" s="14" t="n">
        <v>1</v>
      </c>
      <c r="N902" s="18" t="n">
        <v>0.021</v>
      </c>
    </row>
    <row r="903" customFormat="false" ht="15" hidden="false" customHeight="false" outlineLevel="0" collapsed="false">
      <c r="A903" s="12" t="s">
        <v>962</v>
      </c>
      <c r="B903" s="13" t="n">
        <v>45926</v>
      </c>
      <c r="C903" s="12" t="str">
        <f aca="false">TEXT(B903,"yyyy-mm")</f>
        <v>2025-09</v>
      </c>
      <c r="D903" s="12" t="s">
        <v>75</v>
      </c>
      <c r="E903" s="12" t="s">
        <v>76</v>
      </c>
      <c r="F903" s="12" t="s">
        <v>77</v>
      </c>
      <c r="G903" s="14" t="n">
        <v>1000</v>
      </c>
      <c r="H903" s="15" t="n">
        <v>24.25</v>
      </c>
      <c r="I903" s="15" t="n">
        <v>24.37</v>
      </c>
      <c r="J903" s="16" t="n">
        <f aca="false">G903*H903</f>
        <v>24250</v>
      </c>
      <c r="K903" s="16" t="n">
        <f aca="false">(H903-I903)*G903</f>
        <v>-120.000000000001</v>
      </c>
      <c r="L903" s="17" t="n">
        <f aca="false">IF(I903=0,0,H903/I903-1)</f>
        <v>-0.00492408699220359</v>
      </c>
      <c r="M903" s="14" t="n">
        <v>1</v>
      </c>
      <c r="N903" s="18" t="n">
        <v>0.025</v>
      </c>
    </row>
    <row r="904" customFormat="false" ht="15" hidden="false" customHeight="false" outlineLevel="0" collapsed="false">
      <c r="A904" s="12" t="s">
        <v>963</v>
      </c>
      <c r="B904" s="13" t="n">
        <v>45926</v>
      </c>
      <c r="C904" s="12" t="str">
        <f aca="false">TEXT(B904,"yyyy-mm")</f>
        <v>2025-09</v>
      </c>
      <c r="D904" s="12" t="s">
        <v>61</v>
      </c>
      <c r="E904" s="12" t="s">
        <v>43</v>
      </c>
      <c r="F904" s="12" t="s">
        <v>44</v>
      </c>
      <c r="G904" s="14" t="n">
        <v>1200</v>
      </c>
      <c r="H904" s="15" t="n">
        <v>14.32</v>
      </c>
      <c r="I904" s="15" t="n">
        <v>14.16</v>
      </c>
      <c r="J904" s="16" t="n">
        <f aca="false">G904*H904</f>
        <v>17184</v>
      </c>
      <c r="K904" s="16" t="n">
        <f aca="false">(H904-I904)*G904</f>
        <v>192</v>
      </c>
      <c r="L904" s="17" t="n">
        <f aca="false">IF(I904=0,0,H904/I904-1)</f>
        <v>0.0112994350282487</v>
      </c>
      <c r="M904" s="14" t="n">
        <v>1</v>
      </c>
      <c r="N904" s="18" t="n">
        <v>0.017</v>
      </c>
    </row>
    <row r="905" customFormat="false" ht="15" hidden="false" customHeight="false" outlineLevel="0" collapsed="false">
      <c r="A905" s="12" t="s">
        <v>964</v>
      </c>
      <c r="B905" s="13" t="n">
        <v>45926</v>
      </c>
      <c r="C905" s="12" t="str">
        <f aca="false">TEXT(B905,"yyyy-mm")</f>
        <v>2025-09</v>
      </c>
      <c r="D905" s="12" t="s">
        <v>61</v>
      </c>
      <c r="E905" s="12" t="s">
        <v>43</v>
      </c>
      <c r="F905" s="12" t="s">
        <v>44</v>
      </c>
      <c r="G905" s="14" t="n">
        <v>1200</v>
      </c>
      <c r="H905" s="15" t="n">
        <v>14.56</v>
      </c>
      <c r="I905" s="15" t="n">
        <v>14.04</v>
      </c>
      <c r="J905" s="16" t="n">
        <f aca="false">G905*H905</f>
        <v>17472</v>
      </c>
      <c r="K905" s="16" t="n">
        <f aca="false">(H905-I905)*G905</f>
        <v>624.000000000002</v>
      </c>
      <c r="L905" s="17" t="n">
        <f aca="false">IF(I905=0,0,H905/I905-1)</f>
        <v>0.0370370370370372</v>
      </c>
      <c r="M905" s="14" t="n">
        <v>1</v>
      </c>
      <c r="N905" s="18" t="n">
        <v>0.009</v>
      </c>
    </row>
    <row r="906" customFormat="false" ht="15" hidden="false" customHeight="false" outlineLevel="0" collapsed="false">
      <c r="A906" s="12" t="s">
        <v>965</v>
      </c>
      <c r="B906" s="13" t="n">
        <v>45926</v>
      </c>
      <c r="C906" s="12" t="str">
        <f aca="false">TEXT(B906,"yyyy-mm")</f>
        <v>2025-09</v>
      </c>
      <c r="D906" s="12" t="s">
        <v>39</v>
      </c>
      <c r="E906" s="12" t="s">
        <v>49</v>
      </c>
      <c r="F906" s="12" t="s">
        <v>50</v>
      </c>
      <c r="G906" s="14" t="n">
        <v>1000</v>
      </c>
      <c r="H906" s="15" t="n">
        <v>19.16</v>
      </c>
      <c r="I906" s="15" t="n">
        <v>18.97</v>
      </c>
      <c r="J906" s="16" t="n">
        <f aca="false">G906*H906</f>
        <v>19160</v>
      </c>
      <c r="K906" s="16" t="n">
        <f aca="false">(H906-I906)*G906</f>
        <v>190.000000000001</v>
      </c>
      <c r="L906" s="17" t="n">
        <f aca="false">IF(I906=0,0,H906/I906-1)</f>
        <v>0.0100158144438587</v>
      </c>
      <c r="M906" s="14" t="n">
        <v>1</v>
      </c>
      <c r="N906" s="18" t="n">
        <v>0.031</v>
      </c>
    </row>
    <row r="907" customFormat="false" ht="15" hidden="false" customHeight="false" outlineLevel="0" collapsed="false">
      <c r="A907" s="12" t="s">
        <v>966</v>
      </c>
      <c r="B907" s="13" t="n">
        <v>45926</v>
      </c>
      <c r="C907" s="12" t="str">
        <f aca="false">TEXT(B907,"yyyy-mm")</f>
        <v>2025-09</v>
      </c>
      <c r="D907" s="12" t="s">
        <v>39</v>
      </c>
      <c r="E907" s="12" t="s">
        <v>46</v>
      </c>
      <c r="F907" s="12" t="s">
        <v>47</v>
      </c>
      <c r="G907" s="14" t="n">
        <v>1200</v>
      </c>
      <c r="H907" s="15" t="n">
        <v>19.45</v>
      </c>
      <c r="I907" s="15" t="n">
        <v>18.48</v>
      </c>
      <c r="J907" s="16" t="n">
        <f aca="false">G907*H907</f>
        <v>23340</v>
      </c>
      <c r="K907" s="16" t="n">
        <f aca="false">(H907-I907)*G907</f>
        <v>1164</v>
      </c>
      <c r="L907" s="17" t="n">
        <f aca="false">IF(I907=0,0,H907/I907-1)</f>
        <v>0.0524891774891774</v>
      </c>
      <c r="M907" s="14" t="n">
        <v>1</v>
      </c>
      <c r="N907" s="18" t="n">
        <v>0.007</v>
      </c>
    </row>
    <row r="908" customFormat="false" ht="15" hidden="false" customHeight="false" outlineLevel="0" collapsed="false">
      <c r="A908" s="12" t="s">
        <v>967</v>
      </c>
      <c r="B908" s="13" t="n">
        <v>45927</v>
      </c>
      <c r="C908" s="12" t="str">
        <f aca="false">TEXT(B908,"yyyy-mm")</f>
        <v>2025-09</v>
      </c>
      <c r="D908" s="12" t="s">
        <v>35</v>
      </c>
      <c r="E908" s="12" t="s">
        <v>43</v>
      </c>
      <c r="F908" s="12" t="s">
        <v>44</v>
      </c>
      <c r="G908" s="14" t="n">
        <v>1600</v>
      </c>
      <c r="H908" s="15" t="n">
        <v>16.88</v>
      </c>
      <c r="I908" s="15" t="n">
        <v>16.73</v>
      </c>
      <c r="J908" s="16" t="n">
        <f aca="false">G908*H908</f>
        <v>27008</v>
      </c>
      <c r="K908" s="16" t="n">
        <f aca="false">(H908-I908)*G908</f>
        <v>239.999999999998</v>
      </c>
      <c r="L908" s="17" t="n">
        <f aca="false">IF(I908=0,0,H908/I908-1)</f>
        <v>0.00896592946802133</v>
      </c>
      <c r="M908" s="14" t="n">
        <v>1</v>
      </c>
      <c r="N908" s="18" t="n">
        <v>0.011</v>
      </c>
    </row>
    <row r="909" customFormat="false" ht="15" hidden="false" customHeight="false" outlineLevel="0" collapsed="false">
      <c r="A909" s="12" t="s">
        <v>968</v>
      </c>
      <c r="B909" s="13" t="n">
        <v>45927</v>
      </c>
      <c r="C909" s="12" t="str">
        <f aca="false">TEXT(B909,"yyyy-mm")</f>
        <v>2025-09</v>
      </c>
      <c r="D909" s="12" t="s">
        <v>58</v>
      </c>
      <c r="E909" s="12" t="s">
        <v>40</v>
      </c>
      <c r="F909" s="12" t="s">
        <v>41</v>
      </c>
      <c r="G909" s="14" t="n">
        <v>200</v>
      </c>
      <c r="H909" s="15" t="n">
        <v>30.54</v>
      </c>
      <c r="I909" s="15" t="n">
        <v>30.11</v>
      </c>
      <c r="J909" s="16" t="n">
        <f aca="false">G909*H909</f>
        <v>6108</v>
      </c>
      <c r="K909" s="16" t="n">
        <f aca="false">(H909-I909)*G909</f>
        <v>85.9999999999999</v>
      </c>
      <c r="L909" s="17" t="n">
        <f aca="false">IF(I909=0,0,H909/I909-1)</f>
        <v>0.0142809697774826</v>
      </c>
      <c r="M909" s="14" t="n">
        <v>1</v>
      </c>
      <c r="N909" s="18" t="n">
        <v>0.02</v>
      </c>
    </row>
    <row r="910" customFormat="false" ht="15" hidden="false" customHeight="false" outlineLevel="0" collapsed="false">
      <c r="A910" s="12" t="s">
        <v>969</v>
      </c>
      <c r="B910" s="13" t="n">
        <v>45927</v>
      </c>
      <c r="C910" s="12" t="str">
        <f aca="false">TEXT(B910,"yyyy-mm")</f>
        <v>2025-09</v>
      </c>
      <c r="D910" s="12" t="s">
        <v>75</v>
      </c>
      <c r="E910" s="12" t="s">
        <v>49</v>
      </c>
      <c r="F910" s="12" t="s">
        <v>50</v>
      </c>
      <c r="G910" s="14" t="n">
        <v>200</v>
      </c>
      <c r="H910" s="15" t="n">
        <v>24.92</v>
      </c>
      <c r="I910" s="15" t="n">
        <v>24.75</v>
      </c>
      <c r="J910" s="16" t="n">
        <f aca="false">G910*H910</f>
        <v>4984</v>
      </c>
      <c r="K910" s="16" t="n">
        <f aca="false">(H910-I910)*G910</f>
        <v>34.0000000000003</v>
      </c>
      <c r="L910" s="17" t="n">
        <f aca="false">IF(I910=0,0,H910/I910-1)</f>
        <v>0.00686868686868691</v>
      </c>
      <c r="M910" s="14" t="n">
        <v>1</v>
      </c>
      <c r="N910" s="18" t="n">
        <v>0.015</v>
      </c>
    </row>
    <row r="911" customFormat="false" ht="15" hidden="false" customHeight="false" outlineLevel="0" collapsed="false">
      <c r="A911" s="12" t="s">
        <v>970</v>
      </c>
      <c r="B911" s="13" t="n">
        <v>45928</v>
      </c>
      <c r="C911" s="12" t="str">
        <f aca="false">TEXT(B911,"yyyy-mm")</f>
        <v>2025-09</v>
      </c>
      <c r="D911" s="12" t="s">
        <v>39</v>
      </c>
      <c r="E911" s="12" t="s">
        <v>46</v>
      </c>
      <c r="F911" s="12" t="s">
        <v>47</v>
      </c>
      <c r="G911" s="14" t="n">
        <v>400</v>
      </c>
      <c r="H911" s="15" t="n">
        <v>18.77</v>
      </c>
      <c r="I911" s="15" t="n">
        <v>18.33</v>
      </c>
      <c r="J911" s="16" t="n">
        <f aca="false">G911*H911</f>
        <v>7508</v>
      </c>
      <c r="K911" s="16" t="n">
        <f aca="false">(H911-I911)*G911</f>
        <v>176.000000000001</v>
      </c>
      <c r="L911" s="17" t="n">
        <f aca="false">IF(I911=0,0,H911/I911-1)</f>
        <v>0.0240043644298964</v>
      </c>
      <c r="M911" s="14" t="n">
        <v>1</v>
      </c>
      <c r="N911" s="18" t="n">
        <v>0.005</v>
      </c>
    </row>
    <row r="912" customFormat="false" ht="15" hidden="false" customHeight="false" outlineLevel="0" collapsed="false">
      <c r="A912" s="12" t="s">
        <v>971</v>
      </c>
      <c r="B912" s="13" t="n">
        <v>45928</v>
      </c>
      <c r="C912" s="12" t="str">
        <f aca="false">TEXT(B912,"yyyy-mm")</f>
        <v>2025-09</v>
      </c>
      <c r="D912" s="12" t="s">
        <v>75</v>
      </c>
      <c r="E912" s="12" t="s">
        <v>40</v>
      </c>
      <c r="F912" s="12" t="s">
        <v>41</v>
      </c>
      <c r="G912" s="14" t="n">
        <v>400</v>
      </c>
      <c r="H912" s="15" t="n">
        <v>24.73</v>
      </c>
      <c r="I912" s="15" t="n">
        <v>24.38</v>
      </c>
      <c r="J912" s="16" t="n">
        <f aca="false">G912*H912</f>
        <v>9892</v>
      </c>
      <c r="K912" s="16" t="n">
        <f aca="false">(H912-I912)*G912</f>
        <v>140.000000000001</v>
      </c>
      <c r="L912" s="17" t="n">
        <f aca="false">IF(I912=0,0,H912/I912-1)</f>
        <v>0.0143560295324037</v>
      </c>
      <c r="M912" s="14" t="n">
        <v>1</v>
      </c>
      <c r="N912" s="18" t="n">
        <v>0.026</v>
      </c>
    </row>
    <row r="913" customFormat="false" ht="15" hidden="false" customHeight="false" outlineLevel="0" collapsed="false">
      <c r="A913" s="12" t="s">
        <v>972</v>
      </c>
      <c r="B913" s="13" t="n">
        <v>45928</v>
      </c>
      <c r="C913" s="12" t="str">
        <f aca="false">TEXT(B913,"yyyy-mm")</f>
        <v>2025-09</v>
      </c>
      <c r="D913" s="12" t="s">
        <v>53</v>
      </c>
      <c r="E913" s="12" t="s">
        <v>54</v>
      </c>
      <c r="F913" s="12" t="s">
        <v>55</v>
      </c>
      <c r="G913" s="14" t="n">
        <v>800</v>
      </c>
      <c r="H913" s="15" t="n">
        <v>15.01</v>
      </c>
      <c r="I913" s="15" t="n">
        <v>15.02</v>
      </c>
      <c r="J913" s="16" t="n">
        <f aca="false">G913*H913</f>
        <v>12008</v>
      </c>
      <c r="K913" s="16" t="n">
        <f aca="false">(H913-I913)*G913</f>
        <v>-7.99999999999983</v>
      </c>
      <c r="L913" s="17" t="n">
        <f aca="false">IF(I913=0,0,H913/I913-1)</f>
        <v>-0.000665778961384755</v>
      </c>
      <c r="M913" s="14" t="n">
        <v>1</v>
      </c>
      <c r="N913" s="18" t="n">
        <v>0.024</v>
      </c>
    </row>
    <row r="914" customFormat="false" ht="15" hidden="false" customHeight="false" outlineLevel="0" collapsed="false">
      <c r="A914" s="12" t="s">
        <v>973</v>
      </c>
      <c r="B914" s="13" t="n">
        <v>45929</v>
      </c>
      <c r="C914" s="12" t="str">
        <f aca="false">TEXT(B914,"yyyy-mm")</f>
        <v>2025-09</v>
      </c>
      <c r="D914" s="12" t="s">
        <v>80</v>
      </c>
      <c r="E914" s="12" t="s">
        <v>76</v>
      </c>
      <c r="F914" s="12" t="s">
        <v>77</v>
      </c>
      <c r="G914" s="14" t="n">
        <v>400</v>
      </c>
      <c r="H914" s="15" t="n">
        <v>22.57</v>
      </c>
      <c r="I914" s="15" t="n">
        <v>22.46</v>
      </c>
      <c r="J914" s="16" t="n">
        <f aca="false">G914*H914</f>
        <v>9028</v>
      </c>
      <c r="K914" s="16" t="n">
        <f aca="false">(H914-I914)*G914</f>
        <v>43.9999999999998</v>
      </c>
      <c r="L914" s="17" t="n">
        <f aca="false">IF(I914=0,0,H914/I914-1)</f>
        <v>0.00489759572573467</v>
      </c>
      <c r="M914" s="14" t="n">
        <v>1</v>
      </c>
      <c r="N914" s="18" t="n">
        <v>0.023</v>
      </c>
    </row>
    <row r="915" customFormat="false" ht="15" hidden="false" customHeight="false" outlineLevel="0" collapsed="false">
      <c r="A915" s="12" t="s">
        <v>974</v>
      </c>
      <c r="B915" s="13" t="n">
        <v>45929</v>
      </c>
      <c r="C915" s="12" t="str">
        <f aca="false">TEXT(B915,"yyyy-mm")</f>
        <v>2025-09</v>
      </c>
      <c r="D915" s="12" t="s">
        <v>35</v>
      </c>
      <c r="E915" s="12" t="s">
        <v>43</v>
      </c>
      <c r="F915" s="12" t="s">
        <v>44</v>
      </c>
      <c r="G915" s="14" t="n">
        <v>1200</v>
      </c>
      <c r="H915" s="15" t="n">
        <v>16.16</v>
      </c>
      <c r="I915" s="15" t="n">
        <v>16.09</v>
      </c>
      <c r="J915" s="16" t="n">
        <f aca="false">G915*H915</f>
        <v>19392</v>
      </c>
      <c r="K915" s="16" t="n">
        <f aca="false">(H915-I915)*G915</f>
        <v>84.0000000000003</v>
      </c>
      <c r="L915" s="17" t="n">
        <f aca="false">IF(I915=0,0,H915/I915-1)</f>
        <v>0.00435052827843374</v>
      </c>
      <c r="M915" s="14" t="n">
        <v>1</v>
      </c>
      <c r="N915" s="18" t="n">
        <v>0.007</v>
      </c>
    </row>
    <row r="916" customFormat="false" ht="15" hidden="false" customHeight="false" outlineLevel="0" collapsed="false">
      <c r="A916" s="12" t="s">
        <v>975</v>
      </c>
      <c r="B916" s="13" t="n">
        <v>45930</v>
      </c>
      <c r="C916" s="12" t="str">
        <f aca="false">TEXT(B916,"yyyy-mm")</f>
        <v>2025-09</v>
      </c>
      <c r="D916" s="12" t="s">
        <v>53</v>
      </c>
      <c r="E916" s="12" t="s">
        <v>54</v>
      </c>
      <c r="F916" s="12" t="s">
        <v>55</v>
      </c>
      <c r="G916" s="14" t="n">
        <v>800</v>
      </c>
      <c r="H916" s="15" t="n">
        <v>15.88</v>
      </c>
      <c r="I916" s="15" t="n">
        <v>15.49</v>
      </c>
      <c r="J916" s="16" t="n">
        <f aca="false">G916*H916</f>
        <v>12704</v>
      </c>
      <c r="K916" s="16" t="n">
        <f aca="false">(H916-I916)*G916</f>
        <v>312</v>
      </c>
      <c r="L916" s="17" t="n">
        <f aca="false">IF(I916=0,0,H916/I916-1)</f>
        <v>0.0251775338928342</v>
      </c>
      <c r="M916" s="14" t="n">
        <v>0</v>
      </c>
      <c r="N916" s="18" t="n">
        <v>0.013</v>
      </c>
    </row>
    <row r="917" customFormat="false" ht="15" hidden="false" customHeight="false" outlineLevel="0" collapsed="false">
      <c r="A917" s="12" t="s">
        <v>976</v>
      </c>
      <c r="B917" s="13" t="n">
        <v>45930</v>
      </c>
      <c r="C917" s="12" t="str">
        <f aca="false">TEXT(B917,"yyyy-mm")</f>
        <v>2025-09</v>
      </c>
      <c r="D917" s="12" t="s">
        <v>80</v>
      </c>
      <c r="E917" s="12" t="s">
        <v>81</v>
      </c>
      <c r="F917" s="12" t="s">
        <v>82</v>
      </c>
      <c r="G917" s="14" t="n">
        <v>2000</v>
      </c>
      <c r="H917" s="15" t="n">
        <v>21.65</v>
      </c>
      <c r="I917" s="15" t="n">
        <v>22.19</v>
      </c>
      <c r="J917" s="16" t="n">
        <f aca="false">G917*H917</f>
        <v>43300</v>
      </c>
      <c r="K917" s="16" t="n">
        <f aca="false">(H917-I917)*G917</f>
        <v>-1080.00000000001</v>
      </c>
      <c r="L917" s="17" t="n">
        <f aca="false">IF(I917=0,0,H917/I917-1)</f>
        <v>-0.0243352861649393</v>
      </c>
      <c r="M917" s="14" t="n">
        <v>0</v>
      </c>
      <c r="N917" s="18" t="n">
        <v>0.046</v>
      </c>
    </row>
    <row r="918" customFormat="false" ht="15" hidden="false" customHeight="false" outlineLevel="0" collapsed="false">
      <c r="A918" s="12" t="s">
        <v>977</v>
      </c>
      <c r="B918" s="13" t="n">
        <v>45930</v>
      </c>
      <c r="C918" s="12" t="str">
        <f aca="false">TEXT(B918,"yyyy-mm")</f>
        <v>2025-09</v>
      </c>
      <c r="D918" s="12" t="s">
        <v>80</v>
      </c>
      <c r="E918" s="12" t="s">
        <v>92</v>
      </c>
      <c r="F918" s="12" t="s">
        <v>93</v>
      </c>
      <c r="G918" s="14" t="n">
        <v>1200</v>
      </c>
      <c r="H918" s="15" t="n">
        <v>20.29</v>
      </c>
      <c r="I918" s="15" t="n">
        <v>22.2</v>
      </c>
      <c r="J918" s="16" t="n">
        <f aca="false">G918*H918</f>
        <v>24348</v>
      </c>
      <c r="K918" s="16" t="n">
        <f aca="false">(H918-I918)*G918</f>
        <v>-2292</v>
      </c>
      <c r="L918" s="17" t="n">
        <f aca="false">IF(I918=0,0,H918/I918-1)</f>
        <v>-0.0860360360360361</v>
      </c>
      <c r="M918" s="14" t="n">
        <v>1</v>
      </c>
      <c r="N918" s="18" t="n">
        <v>0.081</v>
      </c>
    </row>
    <row r="919" customFormat="false" ht="15" hidden="false" customHeight="false" outlineLevel="0" collapsed="false">
      <c r="A919" s="12" t="s">
        <v>978</v>
      </c>
      <c r="B919" s="13" t="n">
        <v>45931</v>
      </c>
      <c r="C919" s="12" t="str">
        <f aca="false">TEXT(B919,"yyyy-mm")</f>
        <v>2025-10</v>
      </c>
      <c r="D919" s="12" t="s">
        <v>61</v>
      </c>
      <c r="E919" s="12" t="s">
        <v>36</v>
      </c>
      <c r="F919" s="12" t="s">
        <v>37</v>
      </c>
      <c r="G919" s="14" t="n">
        <v>400</v>
      </c>
      <c r="H919" s="15" t="n">
        <v>14.05</v>
      </c>
      <c r="I919" s="15" t="n">
        <v>13.75</v>
      </c>
      <c r="J919" s="16" t="n">
        <f aca="false">G919*H919</f>
        <v>5620</v>
      </c>
      <c r="K919" s="16" t="n">
        <f aca="false">(H919-I919)*G919</f>
        <v>120</v>
      </c>
      <c r="L919" s="17" t="n">
        <f aca="false">IF(I919=0,0,H919/I919-1)</f>
        <v>0.021818181818182</v>
      </c>
      <c r="M919" s="14" t="n">
        <v>1</v>
      </c>
      <c r="N919" s="18" t="n">
        <v>0.023</v>
      </c>
    </row>
    <row r="920" customFormat="false" ht="15" hidden="false" customHeight="false" outlineLevel="0" collapsed="false">
      <c r="A920" s="12" t="s">
        <v>979</v>
      </c>
      <c r="B920" s="13" t="n">
        <v>45932</v>
      </c>
      <c r="C920" s="12" t="str">
        <f aca="false">TEXT(B920,"yyyy-mm")</f>
        <v>2025-10</v>
      </c>
      <c r="D920" s="12" t="s">
        <v>53</v>
      </c>
      <c r="E920" s="12" t="s">
        <v>49</v>
      </c>
      <c r="F920" s="12" t="s">
        <v>50</v>
      </c>
      <c r="G920" s="14" t="n">
        <v>800</v>
      </c>
      <c r="H920" s="15" t="n">
        <v>14.65</v>
      </c>
      <c r="I920" s="15" t="n">
        <v>14.6</v>
      </c>
      <c r="J920" s="16" t="n">
        <f aca="false">G920*H920</f>
        <v>11720</v>
      </c>
      <c r="K920" s="16" t="n">
        <f aca="false">(H920-I920)*G920</f>
        <v>40.0000000000006</v>
      </c>
      <c r="L920" s="17" t="n">
        <f aca="false">IF(I920=0,0,H920/I920-1)</f>
        <v>0.0034246575342467</v>
      </c>
      <c r="M920" s="14" t="n">
        <v>0</v>
      </c>
      <c r="N920" s="18" t="n">
        <v>0.027</v>
      </c>
    </row>
    <row r="921" customFormat="false" ht="15" hidden="false" customHeight="false" outlineLevel="0" collapsed="false">
      <c r="A921" s="12" t="s">
        <v>980</v>
      </c>
      <c r="B921" s="13" t="n">
        <v>45932</v>
      </c>
      <c r="C921" s="12" t="str">
        <f aca="false">TEXT(B921,"yyyy-mm")</f>
        <v>2025-10</v>
      </c>
      <c r="D921" s="12" t="s">
        <v>35</v>
      </c>
      <c r="E921" s="12" t="s">
        <v>36</v>
      </c>
      <c r="F921" s="12" t="s">
        <v>37</v>
      </c>
      <c r="G921" s="14" t="n">
        <v>2400</v>
      </c>
      <c r="H921" s="15" t="n">
        <v>16.78</v>
      </c>
      <c r="I921" s="15" t="n">
        <v>16.3</v>
      </c>
      <c r="J921" s="16" t="n">
        <f aca="false">G921*H921</f>
        <v>40272</v>
      </c>
      <c r="K921" s="16" t="n">
        <f aca="false">(H921-I921)*G921</f>
        <v>1152</v>
      </c>
      <c r="L921" s="17" t="n">
        <f aca="false">IF(I921=0,0,H921/I921-1)</f>
        <v>0.0294478527607363</v>
      </c>
      <c r="M921" s="14" t="n">
        <v>1</v>
      </c>
      <c r="N921" s="18" t="n">
        <v>0.027</v>
      </c>
    </row>
    <row r="922" customFormat="false" ht="15" hidden="false" customHeight="false" outlineLevel="0" collapsed="false">
      <c r="A922" s="12" t="s">
        <v>981</v>
      </c>
      <c r="B922" s="13" t="n">
        <v>45932</v>
      </c>
      <c r="C922" s="12" t="str">
        <f aca="false">TEXT(B922,"yyyy-mm")</f>
        <v>2025-10</v>
      </c>
      <c r="D922" s="12" t="s">
        <v>61</v>
      </c>
      <c r="E922" s="12" t="s">
        <v>43</v>
      </c>
      <c r="F922" s="12" t="s">
        <v>44</v>
      </c>
      <c r="G922" s="14" t="n">
        <v>1000</v>
      </c>
      <c r="H922" s="15" t="n">
        <v>15.03</v>
      </c>
      <c r="I922" s="15" t="n">
        <v>14.13</v>
      </c>
      <c r="J922" s="16" t="n">
        <f aca="false">G922*H922</f>
        <v>15030</v>
      </c>
      <c r="K922" s="16" t="n">
        <f aca="false">(H922-I922)*G922</f>
        <v>899.999999999999</v>
      </c>
      <c r="L922" s="17" t="n">
        <f aca="false">IF(I922=0,0,H922/I922-1)</f>
        <v>0.0636942675159236</v>
      </c>
      <c r="M922" s="14" t="n">
        <v>1</v>
      </c>
      <c r="N922" s="18" t="n">
        <v>0.016</v>
      </c>
    </row>
    <row r="923" customFormat="false" ht="15" hidden="false" customHeight="false" outlineLevel="0" collapsed="false">
      <c r="A923" s="12" t="s">
        <v>982</v>
      </c>
      <c r="B923" s="13" t="n">
        <v>45933</v>
      </c>
      <c r="C923" s="12" t="str">
        <f aca="false">TEXT(B923,"yyyy-mm")</f>
        <v>2025-10</v>
      </c>
      <c r="D923" s="12" t="s">
        <v>53</v>
      </c>
      <c r="E923" s="12" t="s">
        <v>54</v>
      </c>
      <c r="F923" s="12" t="s">
        <v>55</v>
      </c>
      <c r="G923" s="14" t="n">
        <v>400</v>
      </c>
      <c r="H923" s="15" t="n">
        <v>14.97</v>
      </c>
      <c r="I923" s="15" t="n">
        <v>14.39</v>
      </c>
      <c r="J923" s="16" t="n">
        <f aca="false">G923*H923</f>
        <v>5988</v>
      </c>
      <c r="K923" s="16" t="n">
        <f aca="false">(H923-I923)*G923</f>
        <v>232</v>
      </c>
      <c r="L923" s="17" t="n">
        <f aca="false">IF(I923=0,0,H923/I923-1)</f>
        <v>0.040305767894371</v>
      </c>
      <c r="M923" s="14" t="n">
        <v>1</v>
      </c>
      <c r="N923" s="18" t="n">
        <v>0.011</v>
      </c>
    </row>
    <row r="924" customFormat="false" ht="15" hidden="false" customHeight="false" outlineLevel="0" collapsed="false">
      <c r="A924" s="12" t="s">
        <v>983</v>
      </c>
      <c r="B924" s="13" t="n">
        <v>45933</v>
      </c>
      <c r="C924" s="12" t="str">
        <f aca="false">TEXT(B924,"yyyy-mm")</f>
        <v>2025-10</v>
      </c>
      <c r="D924" s="12" t="s">
        <v>80</v>
      </c>
      <c r="E924" s="12" t="s">
        <v>76</v>
      </c>
      <c r="F924" s="12" t="s">
        <v>77</v>
      </c>
      <c r="G924" s="14" t="n">
        <v>600</v>
      </c>
      <c r="H924" s="15" t="n">
        <v>22.08</v>
      </c>
      <c r="I924" s="15" t="n">
        <v>21.56</v>
      </c>
      <c r="J924" s="16" t="n">
        <f aca="false">G924*H924</f>
        <v>13248</v>
      </c>
      <c r="K924" s="16" t="n">
        <f aca="false">(H924-I924)*G924</f>
        <v>312</v>
      </c>
      <c r="L924" s="17" t="n">
        <f aca="false">IF(I924=0,0,H924/I924-1)</f>
        <v>0.0241187384044528</v>
      </c>
      <c r="M924" s="14" t="n">
        <v>1</v>
      </c>
      <c r="N924" s="18" t="n">
        <v>0.022</v>
      </c>
    </row>
    <row r="925" customFormat="false" ht="15" hidden="false" customHeight="false" outlineLevel="0" collapsed="false">
      <c r="A925" s="12" t="s">
        <v>984</v>
      </c>
      <c r="B925" s="13" t="n">
        <v>45934</v>
      </c>
      <c r="C925" s="12" t="str">
        <f aca="false">TEXT(B925,"yyyy-mm")</f>
        <v>2025-10</v>
      </c>
      <c r="D925" s="12" t="s">
        <v>53</v>
      </c>
      <c r="E925" s="12" t="s">
        <v>54</v>
      </c>
      <c r="F925" s="12" t="s">
        <v>55</v>
      </c>
      <c r="G925" s="14" t="n">
        <v>1600</v>
      </c>
      <c r="H925" s="15" t="n">
        <v>15.11</v>
      </c>
      <c r="I925" s="15" t="n">
        <v>14.27</v>
      </c>
      <c r="J925" s="16" t="n">
        <f aca="false">G925*H925</f>
        <v>24176</v>
      </c>
      <c r="K925" s="16" t="n">
        <f aca="false">(H925-I925)*G925</f>
        <v>1344</v>
      </c>
      <c r="L925" s="17" t="n">
        <f aca="false">IF(I925=0,0,H925/I925-1)</f>
        <v>0.0588647512263489</v>
      </c>
      <c r="M925" s="14" t="n">
        <v>1</v>
      </c>
      <c r="N925" s="18" t="n">
        <v>0.009</v>
      </c>
    </row>
    <row r="926" customFormat="false" ht="15" hidden="false" customHeight="false" outlineLevel="0" collapsed="false">
      <c r="A926" s="12" t="s">
        <v>985</v>
      </c>
      <c r="B926" s="13" t="n">
        <v>45935</v>
      </c>
      <c r="C926" s="12" t="str">
        <f aca="false">TEXT(B926,"yyyy-mm")</f>
        <v>2025-10</v>
      </c>
      <c r="D926" s="12" t="s">
        <v>39</v>
      </c>
      <c r="E926" s="12" t="s">
        <v>46</v>
      </c>
      <c r="F926" s="12" t="s">
        <v>47</v>
      </c>
      <c r="G926" s="14" t="n">
        <v>1600</v>
      </c>
      <c r="H926" s="15" t="n">
        <v>19.35</v>
      </c>
      <c r="I926" s="15" t="n">
        <v>18.04</v>
      </c>
      <c r="J926" s="16" t="n">
        <f aca="false">G926*H926</f>
        <v>30960</v>
      </c>
      <c r="K926" s="16" t="n">
        <f aca="false">(H926-I926)*G926</f>
        <v>2096</v>
      </c>
      <c r="L926" s="17" t="n">
        <f aca="false">IF(I926=0,0,H926/I926-1)</f>
        <v>0.0726164079822618</v>
      </c>
      <c r="M926" s="14" t="n">
        <v>1</v>
      </c>
      <c r="N926" s="18" t="n">
        <v>0.01</v>
      </c>
    </row>
    <row r="927" customFormat="false" ht="15" hidden="false" customHeight="false" outlineLevel="0" collapsed="false">
      <c r="A927" s="12" t="s">
        <v>986</v>
      </c>
      <c r="B927" s="13" t="n">
        <v>45935</v>
      </c>
      <c r="C927" s="12" t="str">
        <f aca="false">TEXT(B927,"yyyy-mm")</f>
        <v>2025-10</v>
      </c>
      <c r="D927" s="12" t="s">
        <v>61</v>
      </c>
      <c r="E927" s="12" t="s">
        <v>36</v>
      </c>
      <c r="F927" s="12" t="s">
        <v>37</v>
      </c>
      <c r="G927" s="14" t="n">
        <v>400</v>
      </c>
      <c r="H927" s="15" t="n">
        <v>14.29</v>
      </c>
      <c r="I927" s="15" t="n">
        <v>13.92</v>
      </c>
      <c r="J927" s="16" t="n">
        <f aca="false">G927*H927</f>
        <v>5716</v>
      </c>
      <c r="K927" s="16" t="n">
        <f aca="false">(H927-I927)*G927</f>
        <v>148</v>
      </c>
      <c r="L927" s="17" t="n">
        <f aca="false">IF(I927=0,0,H927/I927-1)</f>
        <v>0.0265804597701149</v>
      </c>
      <c r="M927" s="14" t="n">
        <v>1</v>
      </c>
      <c r="N927" s="18" t="n">
        <v>0.029</v>
      </c>
    </row>
    <row r="928" customFormat="false" ht="15" hidden="false" customHeight="false" outlineLevel="0" collapsed="false">
      <c r="A928" s="12" t="s">
        <v>987</v>
      </c>
      <c r="B928" s="13" t="n">
        <v>45937</v>
      </c>
      <c r="C928" s="12" t="str">
        <f aca="false">TEXT(B928,"yyyy-mm")</f>
        <v>2025-10</v>
      </c>
      <c r="D928" s="12" t="s">
        <v>53</v>
      </c>
      <c r="E928" s="12" t="s">
        <v>54</v>
      </c>
      <c r="F928" s="12" t="s">
        <v>55</v>
      </c>
      <c r="G928" s="14" t="n">
        <v>400</v>
      </c>
      <c r="H928" s="15" t="n">
        <v>14.66</v>
      </c>
      <c r="I928" s="15" t="n">
        <v>14.4</v>
      </c>
      <c r="J928" s="16" t="n">
        <f aca="false">G928*H928</f>
        <v>5864</v>
      </c>
      <c r="K928" s="16" t="n">
        <f aca="false">(H928-I928)*G928</f>
        <v>104</v>
      </c>
      <c r="L928" s="17" t="n">
        <f aca="false">IF(I928=0,0,H928/I928-1)</f>
        <v>0.0180555555555555</v>
      </c>
      <c r="M928" s="14" t="n">
        <v>1</v>
      </c>
      <c r="N928" s="18" t="n">
        <v>0.018</v>
      </c>
    </row>
    <row r="929" customFormat="false" ht="15" hidden="false" customHeight="false" outlineLevel="0" collapsed="false">
      <c r="A929" s="12" t="s">
        <v>988</v>
      </c>
      <c r="B929" s="13" t="n">
        <v>45937</v>
      </c>
      <c r="C929" s="12" t="str">
        <f aca="false">TEXT(B929,"yyyy-mm")</f>
        <v>2025-10</v>
      </c>
      <c r="D929" s="12" t="s">
        <v>35</v>
      </c>
      <c r="E929" s="12" t="s">
        <v>36</v>
      </c>
      <c r="F929" s="12" t="s">
        <v>37</v>
      </c>
      <c r="G929" s="14" t="n">
        <v>1600</v>
      </c>
      <c r="H929" s="15" t="n">
        <v>15.78</v>
      </c>
      <c r="I929" s="15" t="n">
        <v>15.91</v>
      </c>
      <c r="J929" s="16" t="n">
        <f aca="false">G929*H929</f>
        <v>25248</v>
      </c>
      <c r="K929" s="16" t="n">
        <f aca="false">(H929-I929)*G929</f>
        <v>-208.000000000001</v>
      </c>
      <c r="L929" s="17" t="n">
        <f aca="false">IF(I929=0,0,H929/I929-1)</f>
        <v>-0.00817096165933384</v>
      </c>
      <c r="M929" s="14" t="n">
        <v>1</v>
      </c>
      <c r="N929" s="18" t="n">
        <v>0.017</v>
      </c>
    </row>
    <row r="930" customFormat="false" ht="15" hidden="false" customHeight="false" outlineLevel="0" collapsed="false">
      <c r="A930" s="12" t="s">
        <v>989</v>
      </c>
      <c r="B930" s="13" t="n">
        <v>45937</v>
      </c>
      <c r="C930" s="12" t="str">
        <f aca="false">TEXT(B930,"yyyy-mm")</f>
        <v>2025-10</v>
      </c>
      <c r="D930" s="12" t="s">
        <v>39</v>
      </c>
      <c r="E930" s="12" t="s">
        <v>49</v>
      </c>
      <c r="F930" s="12" t="s">
        <v>50</v>
      </c>
      <c r="G930" s="14" t="n">
        <v>1600</v>
      </c>
      <c r="H930" s="15" t="n">
        <v>17.58</v>
      </c>
      <c r="I930" s="15" t="n">
        <v>18.19</v>
      </c>
      <c r="J930" s="16" t="n">
        <f aca="false">G930*H930</f>
        <v>28128</v>
      </c>
      <c r="K930" s="16" t="n">
        <f aca="false">(H930-I930)*G930</f>
        <v>-976.000000000005</v>
      </c>
      <c r="L930" s="17" t="n">
        <f aca="false">IF(I930=0,0,H930/I930-1)</f>
        <v>-0.0335349092908193</v>
      </c>
      <c r="M930" s="14" t="n">
        <v>1</v>
      </c>
      <c r="N930" s="18" t="n">
        <v>0.031</v>
      </c>
    </row>
    <row r="931" customFormat="false" ht="15" hidden="false" customHeight="false" outlineLevel="0" collapsed="false">
      <c r="A931" s="12" t="s">
        <v>990</v>
      </c>
      <c r="B931" s="13" t="n">
        <v>45937</v>
      </c>
      <c r="C931" s="12" t="str">
        <f aca="false">TEXT(B931,"yyyy-mm")</f>
        <v>2025-10</v>
      </c>
      <c r="D931" s="12" t="s">
        <v>75</v>
      </c>
      <c r="E931" s="12" t="s">
        <v>40</v>
      </c>
      <c r="F931" s="12" t="s">
        <v>41</v>
      </c>
      <c r="G931" s="14" t="n">
        <v>600</v>
      </c>
      <c r="H931" s="15" t="n">
        <v>22.61</v>
      </c>
      <c r="I931" s="15" t="n">
        <v>22.8</v>
      </c>
      <c r="J931" s="16" t="n">
        <f aca="false">G931*H931</f>
        <v>13566</v>
      </c>
      <c r="K931" s="16" t="n">
        <f aca="false">(H931-I931)*G931</f>
        <v>-114.000000000001</v>
      </c>
      <c r="L931" s="17" t="n">
        <f aca="false">IF(I931=0,0,H931/I931-1)</f>
        <v>-0.00833333333333342</v>
      </c>
      <c r="M931" s="14" t="n">
        <v>1</v>
      </c>
      <c r="N931" s="18" t="n">
        <v>0.015</v>
      </c>
    </row>
    <row r="932" customFormat="false" ht="15" hidden="false" customHeight="false" outlineLevel="0" collapsed="false">
      <c r="A932" s="12" t="s">
        <v>991</v>
      </c>
      <c r="B932" s="13" t="n">
        <v>45938</v>
      </c>
      <c r="C932" s="12" t="str">
        <f aca="false">TEXT(B932,"yyyy-mm")</f>
        <v>2025-10</v>
      </c>
      <c r="D932" s="12" t="s">
        <v>75</v>
      </c>
      <c r="E932" s="12" t="s">
        <v>49</v>
      </c>
      <c r="F932" s="12" t="s">
        <v>50</v>
      </c>
      <c r="G932" s="14" t="n">
        <v>800</v>
      </c>
      <c r="H932" s="15" t="n">
        <v>21.92</v>
      </c>
      <c r="I932" s="15" t="n">
        <v>22.03</v>
      </c>
      <c r="J932" s="16" t="n">
        <f aca="false">G932*H932</f>
        <v>17536</v>
      </c>
      <c r="K932" s="16" t="n">
        <f aca="false">(H932-I932)*G932</f>
        <v>-87.9999999999996</v>
      </c>
      <c r="L932" s="17" t="n">
        <f aca="false">IF(I932=0,0,H932/I932-1)</f>
        <v>-0.00499319110304131</v>
      </c>
      <c r="M932" s="14" t="n">
        <v>1</v>
      </c>
      <c r="N932" s="18" t="n">
        <v>0.036</v>
      </c>
    </row>
    <row r="933" customFormat="false" ht="15" hidden="false" customHeight="false" outlineLevel="0" collapsed="false">
      <c r="A933" s="12" t="s">
        <v>992</v>
      </c>
      <c r="B933" s="13" t="n">
        <v>45938</v>
      </c>
      <c r="C933" s="12" t="str">
        <f aca="false">TEXT(B933,"yyyy-mm")</f>
        <v>2025-10</v>
      </c>
      <c r="D933" s="12" t="s">
        <v>39</v>
      </c>
      <c r="E933" s="12" t="s">
        <v>46</v>
      </c>
      <c r="F933" s="12" t="s">
        <v>47</v>
      </c>
      <c r="G933" s="14" t="n">
        <v>1000</v>
      </c>
      <c r="H933" s="15" t="n">
        <v>18.83</v>
      </c>
      <c r="I933" s="15" t="n">
        <v>17.89</v>
      </c>
      <c r="J933" s="16" t="n">
        <f aca="false">G933*H933</f>
        <v>18830</v>
      </c>
      <c r="K933" s="16" t="n">
        <f aca="false">(H933-I933)*G933</f>
        <v>939.999999999998</v>
      </c>
      <c r="L933" s="17" t="n">
        <f aca="false">IF(I933=0,0,H933/I933-1)</f>
        <v>0.0525433202906651</v>
      </c>
      <c r="M933" s="14" t="n">
        <v>0</v>
      </c>
      <c r="N933" s="18" t="n">
        <v>0.007</v>
      </c>
    </row>
    <row r="934" customFormat="false" ht="15" hidden="false" customHeight="false" outlineLevel="0" collapsed="false">
      <c r="A934" s="12" t="s">
        <v>993</v>
      </c>
      <c r="B934" s="13" t="n">
        <v>45938</v>
      </c>
      <c r="C934" s="12" t="str">
        <f aca="false">TEXT(B934,"yyyy-mm")</f>
        <v>2025-10</v>
      </c>
      <c r="D934" s="12" t="s">
        <v>39</v>
      </c>
      <c r="E934" s="12" t="s">
        <v>46</v>
      </c>
      <c r="F934" s="12" t="s">
        <v>47</v>
      </c>
      <c r="G934" s="14" t="n">
        <v>200</v>
      </c>
      <c r="H934" s="15" t="n">
        <v>17.97</v>
      </c>
      <c r="I934" s="15" t="n">
        <v>17.2</v>
      </c>
      <c r="J934" s="16" t="n">
        <f aca="false">G934*H934</f>
        <v>3594</v>
      </c>
      <c r="K934" s="16" t="n">
        <f aca="false">(H934-I934)*G934</f>
        <v>154</v>
      </c>
      <c r="L934" s="17" t="n">
        <f aca="false">IF(I934=0,0,H934/I934-1)</f>
        <v>0.0447674418604651</v>
      </c>
      <c r="M934" s="14" t="n">
        <v>1</v>
      </c>
      <c r="N934" s="18" t="n">
        <v>0.007</v>
      </c>
    </row>
    <row r="935" customFormat="false" ht="15" hidden="false" customHeight="false" outlineLevel="0" collapsed="false">
      <c r="A935" s="12" t="s">
        <v>994</v>
      </c>
      <c r="B935" s="13" t="n">
        <v>45938</v>
      </c>
      <c r="C935" s="12" t="str">
        <f aca="false">TEXT(B935,"yyyy-mm")</f>
        <v>2025-10</v>
      </c>
      <c r="D935" s="12" t="s">
        <v>58</v>
      </c>
      <c r="E935" s="12" t="s">
        <v>59</v>
      </c>
      <c r="F935" s="12" t="s">
        <v>55</v>
      </c>
      <c r="G935" s="14" t="n">
        <v>400</v>
      </c>
      <c r="H935" s="15" t="n">
        <v>28.99</v>
      </c>
      <c r="I935" s="15" t="n">
        <v>27.87</v>
      </c>
      <c r="J935" s="16" t="n">
        <f aca="false">G935*H935</f>
        <v>11596</v>
      </c>
      <c r="K935" s="16" t="n">
        <f aca="false">(H935-I935)*G935</f>
        <v>447.999999999999</v>
      </c>
      <c r="L935" s="17" t="n">
        <f aca="false">IF(I935=0,0,H935/I935-1)</f>
        <v>0.0401865805525654</v>
      </c>
      <c r="M935" s="14" t="n">
        <v>1</v>
      </c>
      <c r="N935" s="18" t="n">
        <v>0.024</v>
      </c>
    </row>
    <row r="936" customFormat="false" ht="15" hidden="false" customHeight="false" outlineLevel="0" collapsed="false">
      <c r="A936" s="12" t="s">
        <v>995</v>
      </c>
      <c r="B936" s="13" t="n">
        <v>45939</v>
      </c>
      <c r="C936" s="12" t="str">
        <f aca="false">TEXT(B936,"yyyy-mm")</f>
        <v>2025-10</v>
      </c>
      <c r="D936" s="12" t="s">
        <v>53</v>
      </c>
      <c r="E936" s="12" t="s">
        <v>49</v>
      </c>
      <c r="F936" s="12" t="s">
        <v>50</v>
      </c>
      <c r="G936" s="14" t="n">
        <v>2000</v>
      </c>
      <c r="H936" s="15" t="n">
        <v>14.33</v>
      </c>
      <c r="I936" s="15" t="n">
        <v>14.08</v>
      </c>
      <c r="J936" s="16" t="n">
        <f aca="false">G936*H936</f>
        <v>28660</v>
      </c>
      <c r="K936" s="16" t="n">
        <f aca="false">(H936-I936)*G936</f>
        <v>500</v>
      </c>
      <c r="L936" s="17" t="n">
        <f aca="false">IF(I936=0,0,H936/I936-1)</f>
        <v>0.0177556818181819</v>
      </c>
      <c r="M936" s="14" t="n">
        <v>1</v>
      </c>
      <c r="N936" s="18" t="n">
        <v>0.031</v>
      </c>
    </row>
    <row r="937" customFormat="false" ht="15" hidden="false" customHeight="false" outlineLevel="0" collapsed="false">
      <c r="A937" s="12" t="s">
        <v>996</v>
      </c>
      <c r="B937" s="13" t="n">
        <v>45939</v>
      </c>
      <c r="C937" s="12" t="str">
        <f aca="false">TEXT(B937,"yyyy-mm")</f>
        <v>2025-10</v>
      </c>
      <c r="D937" s="12" t="s">
        <v>111</v>
      </c>
      <c r="E937" s="12" t="s">
        <v>76</v>
      </c>
      <c r="F937" s="12" t="s">
        <v>77</v>
      </c>
      <c r="G937" s="14" t="n">
        <v>400</v>
      </c>
      <c r="H937" s="15" t="n">
        <v>18.28</v>
      </c>
      <c r="I937" s="15" t="n">
        <v>18.01</v>
      </c>
      <c r="J937" s="16" t="n">
        <f aca="false">G937*H937</f>
        <v>7312</v>
      </c>
      <c r="K937" s="16" t="n">
        <f aca="false">(H937-I937)*G937</f>
        <v>108</v>
      </c>
      <c r="L937" s="17" t="n">
        <f aca="false">IF(I937=0,0,H937/I937-1)</f>
        <v>0.0149916712937257</v>
      </c>
      <c r="M937" s="14" t="n">
        <v>1</v>
      </c>
      <c r="N937" s="18" t="n">
        <v>0.024</v>
      </c>
    </row>
    <row r="938" customFormat="false" ht="15" hidden="false" customHeight="false" outlineLevel="0" collapsed="false">
      <c r="A938" s="12" t="s">
        <v>997</v>
      </c>
      <c r="B938" s="13" t="n">
        <v>45939</v>
      </c>
      <c r="C938" s="12" t="str">
        <f aca="false">TEXT(B938,"yyyy-mm")</f>
        <v>2025-10</v>
      </c>
      <c r="D938" s="12" t="s">
        <v>61</v>
      </c>
      <c r="E938" s="12" t="s">
        <v>43</v>
      </c>
      <c r="F938" s="12" t="s">
        <v>44</v>
      </c>
      <c r="G938" s="14" t="n">
        <v>1000</v>
      </c>
      <c r="H938" s="15" t="n">
        <v>14.62</v>
      </c>
      <c r="I938" s="15" t="n">
        <v>14.03</v>
      </c>
      <c r="J938" s="16" t="n">
        <f aca="false">G938*H938</f>
        <v>14620</v>
      </c>
      <c r="K938" s="16" t="n">
        <f aca="false">(H938-I938)*G938</f>
        <v>590</v>
      </c>
      <c r="L938" s="17" t="n">
        <f aca="false">IF(I938=0,0,H938/I938-1)</f>
        <v>0.0420527441197434</v>
      </c>
      <c r="M938" s="14" t="n">
        <v>1</v>
      </c>
      <c r="N938" s="18" t="n">
        <v>0.014</v>
      </c>
    </row>
    <row r="939" customFormat="false" ht="15" hidden="false" customHeight="false" outlineLevel="0" collapsed="false">
      <c r="A939" s="12" t="s">
        <v>998</v>
      </c>
      <c r="B939" s="13" t="n">
        <v>45940</v>
      </c>
      <c r="C939" s="12" t="str">
        <f aca="false">TEXT(B939,"yyyy-mm")</f>
        <v>2025-10</v>
      </c>
      <c r="D939" s="12" t="s">
        <v>35</v>
      </c>
      <c r="E939" s="12" t="s">
        <v>43</v>
      </c>
      <c r="F939" s="12" t="s">
        <v>44</v>
      </c>
      <c r="G939" s="14" t="n">
        <v>800</v>
      </c>
      <c r="H939" s="15" t="n">
        <v>16.99</v>
      </c>
      <c r="I939" s="15" t="n">
        <v>16.05</v>
      </c>
      <c r="J939" s="16" t="n">
        <f aca="false">G939*H939</f>
        <v>13592</v>
      </c>
      <c r="K939" s="16" t="n">
        <f aca="false">(H939-I939)*G939</f>
        <v>751.999999999998</v>
      </c>
      <c r="L939" s="17" t="n">
        <f aca="false">IF(I939=0,0,H939/I939-1)</f>
        <v>0.0585669781931464</v>
      </c>
      <c r="M939" s="14" t="n">
        <v>1</v>
      </c>
      <c r="N939" s="18" t="n">
        <v>0.005</v>
      </c>
    </row>
    <row r="940" customFormat="false" ht="15" hidden="false" customHeight="false" outlineLevel="0" collapsed="false">
      <c r="A940" s="12" t="s">
        <v>999</v>
      </c>
      <c r="B940" s="13" t="n">
        <v>45940</v>
      </c>
      <c r="C940" s="12" t="str">
        <f aca="false">TEXT(B940,"yyyy-mm")</f>
        <v>2025-10</v>
      </c>
      <c r="D940" s="12" t="s">
        <v>58</v>
      </c>
      <c r="E940" s="12" t="s">
        <v>40</v>
      </c>
      <c r="F940" s="12" t="s">
        <v>41</v>
      </c>
      <c r="G940" s="14" t="n">
        <v>600</v>
      </c>
      <c r="H940" s="15" t="n">
        <v>27.42</v>
      </c>
      <c r="I940" s="15" t="n">
        <v>27.81</v>
      </c>
      <c r="J940" s="16" t="n">
        <f aca="false">G940*H940</f>
        <v>16452</v>
      </c>
      <c r="K940" s="16" t="n">
        <f aca="false">(H940-I940)*G940</f>
        <v>-233.999999999998</v>
      </c>
      <c r="L940" s="17" t="n">
        <f aca="false">IF(I940=0,0,H940/I940-1)</f>
        <v>-0.0140237324703343</v>
      </c>
      <c r="M940" s="14" t="n">
        <v>1</v>
      </c>
      <c r="N940" s="18" t="n">
        <v>0.011</v>
      </c>
    </row>
    <row r="941" customFormat="false" ht="15" hidden="false" customHeight="false" outlineLevel="0" collapsed="false">
      <c r="A941" s="12" t="s">
        <v>1000</v>
      </c>
      <c r="B941" s="13" t="n">
        <v>45941</v>
      </c>
      <c r="C941" s="12" t="str">
        <f aca="false">TEXT(B941,"yyyy-mm")</f>
        <v>2025-10</v>
      </c>
      <c r="D941" s="12" t="s">
        <v>111</v>
      </c>
      <c r="E941" s="12" t="s">
        <v>92</v>
      </c>
      <c r="F941" s="12" t="s">
        <v>93</v>
      </c>
      <c r="G941" s="14" t="n">
        <v>200</v>
      </c>
      <c r="H941" s="15" t="n">
        <v>17.56</v>
      </c>
      <c r="I941" s="15" t="n">
        <v>18.31</v>
      </c>
      <c r="J941" s="16" t="n">
        <f aca="false">G941*H941</f>
        <v>3512</v>
      </c>
      <c r="K941" s="16" t="n">
        <f aca="false">(H941-I941)*G941</f>
        <v>-150</v>
      </c>
      <c r="L941" s="17" t="n">
        <f aca="false">IF(I941=0,0,H941/I941-1)</f>
        <v>-0.0409612233752048</v>
      </c>
      <c r="M941" s="14" t="n">
        <v>1</v>
      </c>
      <c r="N941" s="18" t="n">
        <v>0.035</v>
      </c>
    </row>
    <row r="942" customFormat="false" ht="15" hidden="false" customHeight="false" outlineLevel="0" collapsed="false">
      <c r="A942" s="12" t="s">
        <v>1001</v>
      </c>
      <c r="B942" s="13" t="n">
        <v>45941</v>
      </c>
      <c r="C942" s="12" t="str">
        <f aca="false">TEXT(B942,"yyyy-mm")</f>
        <v>2025-10</v>
      </c>
      <c r="D942" s="12" t="s">
        <v>35</v>
      </c>
      <c r="E942" s="12" t="s">
        <v>43</v>
      </c>
      <c r="F942" s="12" t="s">
        <v>44</v>
      </c>
      <c r="G942" s="14" t="n">
        <v>1200</v>
      </c>
      <c r="H942" s="15" t="n">
        <v>16.95</v>
      </c>
      <c r="I942" s="15" t="n">
        <v>15.94</v>
      </c>
      <c r="J942" s="16" t="n">
        <f aca="false">G942*H942</f>
        <v>20340</v>
      </c>
      <c r="K942" s="16" t="n">
        <f aca="false">(H942-I942)*G942</f>
        <v>1212</v>
      </c>
      <c r="L942" s="17" t="n">
        <f aca="false">IF(I942=0,0,H942/I942-1)</f>
        <v>0.0633626097867002</v>
      </c>
      <c r="M942" s="14" t="n">
        <v>1</v>
      </c>
      <c r="N942" s="18" t="n">
        <v>0.012</v>
      </c>
    </row>
    <row r="943" customFormat="false" ht="15" hidden="false" customHeight="false" outlineLevel="0" collapsed="false">
      <c r="A943" s="12" t="s">
        <v>1002</v>
      </c>
      <c r="B943" s="13" t="n">
        <v>45941</v>
      </c>
      <c r="C943" s="12" t="str">
        <f aca="false">TEXT(B943,"yyyy-mm")</f>
        <v>2025-10</v>
      </c>
      <c r="D943" s="12" t="s">
        <v>53</v>
      </c>
      <c r="E943" s="12" t="s">
        <v>49</v>
      </c>
      <c r="F943" s="12" t="s">
        <v>50</v>
      </c>
      <c r="G943" s="14" t="n">
        <v>400</v>
      </c>
      <c r="H943" s="15" t="n">
        <v>13.77</v>
      </c>
      <c r="I943" s="15" t="n">
        <v>13.97</v>
      </c>
      <c r="J943" s="16" t="n">
        <f aca="false">G943*H943</f>
        <v>5508</v>
      </c>
      <c r="K943" s="16" t="n">
        <f aca="false">(H943-I943)*G943</f>
        <v>-80.0000000000004</v>
      </c>
      <c r="L943" s="17" t="n">
        <f aca="false">IF(I943=0,0,H943/I943-1)</f>
        <v>-0.0143163922691483</v>
      </c>
      <c r="M943" s="14" t="n">
        <v>0</v>
      </c>
      <c r="N943" s="18" t="n">
        <v>0.042</v>
      </c>
    </row>
    <row r="944" customFormat="false" ht="15" hidden="false" customHeight="false" outlineLevel="0" collapsed="false">
      <c r="A944" s="12" t="s">
        <v>1003</v>
      </c>
      <c r="B944" s="13" t="n">
        <v>45941</v>
      </c>
      <c r="C944" s="12" t="str">
        <f aca="false">TEXT(B944,"yyyy-mm")</f>
        <v>2025-10</v>
      </c>
      <c r="D944" s="12" t="s">
        <v>39</v>
      </c>
      <c r="E944" s="12" t="s">
        <v>46</v>
      </c>
      <c r="F944" s="12" t="s">
        <v>47</v>
      </c>
      <c r="G944" s="14" t="n">
        <v>800</v>
      </c>
      <c r="H944" s="15" t="n">
        <v>17.9</v>
      </c>
      <c r="I944" s="15" t="n">
        <v>17.45</v>
      </c>
      <c r="J944" s="16" t="n">
        <f aca="false">G944*H944</f>
        <v>14320</v>
      </c>
      <c r="K944" s="16" t="n">
        <f aca="false">(H944-I944)*G944</f>
        <v>359.999999999999</v>
      </c>
      <c r="L944" s="17" t="n">
        <f aca="false">IF(I944=0,0,H944/I944-1)</f>
        <v>0.0257879656160458</v>
      </c>
      <c r="M944" s="14" t="n">
        <v>1</v>
      </c>
      <c r="N944" s="18" t="n">
        <v>0.011</v>
      </c>
    </row>
    <row r="945" customFormat="false" ht="15" hidden="false" customHeight="false" outlineLevel="0" collapsed="false">
      <c r="A945" s="12" t="s">
        <v>1004</v>
      </c>
      <c r="B945" s="13" t="n">
        <v>45942</v>
      </c>
      <c r="C945" s="12" t="str">
        <f aca="false">TEXT(B945,"yyyy-mm")</f>
        <v>2025-10</v>
      </c>
      <c r="D945" s="12" t="s">
        <v>39</v>
      </c>
      <c r="E945" s="12" t="s">
        <v>40</v>
      </c>
      <c r="F945" s="12" t="s">
        <v>41</v>
      </c>
      <c r="G945" s="14" t="n">
        <v>400</v>
      </c>
      <c r="H945" s="15" t="n">
        <v>18.19</v>
      </c>
      <c r="I945" s="15" t="n">
        <v>17.69</v>
      </c>
      <c r="J945" s="16" t="n">
        <f aca="false">G945*H945</f>
        <v>7276</v>
      </c>
      <c r="K945" s="16" t="n">
        <f aca="false">(H945-I945)*G945</f>
        <v>200</v>
      </c>
      <c r="L945" s="17" t="n">
        <f aca="false">IF(I945=0,0,H945/I945-1)</f>
        <v>0.028264556246467</v>
      </c>
      <c r="M945" s="14" t="n">
        <v>1</v>
      </c>
      <c r="N945" s="18" t="n">
        <v>0.018</v>
      </c>
    </row>
    <row r="946" customFormat="false" ht="15" hidden="false" customHeight="false" outlineLevel="0" collapsed="false">
      <c r="A946" s="12" t="s">
        <v>1005</v>
      </c>
      <c r="B946" s="13" t="n">
        <v>45942</v>
      </c>
      <c r="C946" s="12" t="str">
        <f aca="false">TEXT(B946,"yyyy-mm")</f>
        <v>2025-10</v>
      </c>
      <c r="D946" s="12" t="s">
        <v>35</v>
      </c>
      <c r="E946" s="12" t="s">
        <v>36</v>
      </c>
      <c r="F946" s="12" t="s">
        <v>37</v>
      </c>
      <c r="G946" s="14" t="n">
        <v>1600</v>
      </c>
      <c r="H946" s="15" t="n">
        <v>16.36</v>
      </c>
      <c r="I946" s="15" t="n">
        <v>16.07</v>
      </c>
      <c r="J946" s="16" t="n">
        <f aca="false">G946*H946</f>
        <v>26176</v>
      </c>
      <c r="K946" s="16" t="n">
        <f aca="false">(H946-I946)*G946</f>
        <v>463.999999999999</v>
      </c>
      <c r="L946" s="17" t="n">
        <f aca="false">IF(I946=0,0,H946/I946-1)</f>
        <v>0.0180460485376477</v>
      </c>
      <c r="M946" s="14" t="n">
        <v>1</v>
      </c>
      <c r="N946" s="18" t="n">
        <v>0.016</v>
      </c>
    </row>
    <row r="947" customFormat="false" ht="15" hidden="false" customHeight="false" outlineLevel="0" collapsed="false">
      <c r="A947" s="12" t="s">
        <v>1006</v>
      </c>
      <c r="B947" s="13" t="n">
        <v>45942</v>
      </c>
      <c r="C947" s="12" t="str">
        <f aca="false">TEXT(B947,"yyyy-mm")</f>
        <v>2025-10</v>
      </c>
      <c r="D947" s="12" t="s">
        <v>39</v>
      </c>
      <c r="E947" s="12" t="s">
        <v>46</v>
      </c>
      <c r="F947" s="12" t="s">
        <v>47</v>
      </c>
      <c r="G947" s="14" t="n">
        <v>800</v>
      </c>
      <c r="H947" s="15" t="n">
        <v>18.63</v>
      </c>
      <c r="I947" s="15" t="n">
        <v>17.76</v>
      </c>
      <c r="J947" s="16" t="n">
        <f aca="false">G947*H947</f>
        <v>14904</v>
      </c>
      <c r="K947" s="16" t="n">
        <f aca="false">(H947-I947)*G947</f>
        <v>695.999999999998</v>
      </c>
      <c r="L947" s="17" t="n">
        <f aca="false">IF(I947=0,0,H947/I947-1)</f>
        <v>0.0489864864864864</v>
      </c>
      <c r="M947" s="14" t="n">
        <v>1</v>
      </c>
      <c r="N947" s="18" t="n">
        <v>0.008</v>
      </c>
    </row>
    <row r="948" customFormat="false" ht="15" hidden="false" customHeight="false" outlineLevel="0" collapsed="false">
      <c r="A948" s="12" t="s">
        <v>1007</v>
      </c>
      <c r="B948" s="13" t="n">
        <v>45942</v>
      </c>
      <c r="C948" s="12" t="str">
        <f aca="false">TEXT(B948,"yyyy-mm")</f>
        <v>2025-10</v>
      </c>
      <c r="D948" s="12" t="s">
        <v>39</v>
      </c>
      <c r="E948" s="12" t="s">
        <v>46</v>
      </c>
      <c r="F948" s="12" t="s">
        <v>47</v>
      </c>
      <c r="G948" s="14" t="n">
        <v>200</v>
      </c>
      <c r="H948" s="15" t="n">
        <v>19.03</v>
      </c>
      <c r="I948" s="15" t="n">
        <v>17.56</v>
      </c>
      <c r="J948" s="16" t="n">
        <f aca="false">G948*H948</f>
        <v>3806</v>
      </c>
      <c r="K948" s="16" t="n">
        <f aca="false">(H948-I948)*G948</f>
        <v>294</v>
      </c>
      <c r="L948" s="17" t="n">
        <f aca="false">IF(I948=0,0,H948/I948-1)</f>
        <v>0.0837129840546698</v>
      </c>
      <c r="M948" s="14" t="n">
        <v>1</v>
      </c>
      <c r="N948" s="18" t="n">
        <v>0.009</v>
      </c>
    </row>
    <row r="949" customFormat="false" ht="15" hidden="false" customHeight="false" outlineLevel="0" collapsed="false">
      <c r="A949" s="12" t="s">
        <v>1008</v>
      </c>
      <c r="B949" s="13" t="n">
        <v>45942</v>
      </c>
      <c r="C949" s="12" t="str">
        <f aca="false">TEXT(B949,"yyyy-mm")</f>
        <v>2025-10</v>
      </c>
      <c r="D949" s="12" t="s">
        <v>61</v>
      </c>
      <c r="E949" s="12" t="s">
        <v>43</v>
      </c>
      <c r="F949" s="12" t="s">
        <v>44</v>
      </c>
      <c r="G949" s="14" t="n">
        <v>400</v>
      </c>
      <c r="H949" s="15" t="n">
        <v>15.13</v>
      </c>
      <c r="I949" s="15" t="n">
        <v>14.31</v>
      </c>
      <c r="J949" s="16" t="n">
        <f aca="false">G949*H949</f>
        <v>6052</v>
      </c>
      <c r="K949" s="16" t="n">
        <f aca="false">(H949-I949)*G949</f>
        <v>328</v>
      </c>
      <c r="L949" s="17" t="n">
        <f aca="false">IF(I949=0,0,H949/I949-1)</f>
        <v>0.0573025856044724</v>
      </c>
      <c r="M949" s="14" t="n">
        <v>1</v>
      </c>
      <c r="N949" s="18" t="n">
        <v>0.013</v>
      </c>
    </row>
    <row r="950" customFormat="false" ht="15" hidden="false" customHeight="false" outlineLevel="0" collapsed="false">
      <c r="A950" s="12" t="s">
        <v>1009</v>
      </c>
      <c r="B950" s="13" t="n">
        <v>45943</v>
      </c>
      <c r="C950" s="12" t="str">
        <f aca="false">TEXT(B950,"yyyy-mm")</f>
        <v>2025-10</v>
      </c>
      <c r="D950" s="12" t="s">
        <v>35</v>
      </c>
      <c r="E950" s="12" t="s">
        <v>43</v>
      </c>
      <c r="F950" s="12" t="s">
        <v>44</v>
      </c>
      <c r="G950" s="14" t="n">
        <v>4000</v>
      </c>
      <c r="H950" s="15" t="n">
        <v>16.79</v>
      </c>
      <c r="I950" s="15" t="n">
        <v>15.99</v>
      </c>
      <c r="J950" s="16" t="n">
        <f aca="false">G950*H950</f>
        <v>67160</v>
      </c>
      <c r="K950" s="16" t="n">
        <f aca="false">(H950-I950)*G950</f>
        <v>3200</v>
      </c>
      <c r="L950" s="17" t="n">
        <f aca="false">IF(I950=0,0,H950/I950-1)</f>
        <v>0.0500312695434646</v>
      </c>
      <c r="M950" s="14" t="n">
        <v>1</v>
      </c>
      <c r="N950" s="18" t="n">
        <v>0.011</v>
      </c>
    </row>
    <row r="951" customFormat="false" ht="15" hidden="false" customHeight="false" outlineLevel="0" collapsed="false">
      <c r="A951" s="12" t="s">
        <v>1010</v>
      </c>
      <c r="B951" s="13" t="n">
        <v>45943</v>
      </c>
      <c r="C951" s="12" t="str">
        <f aca="false">TEXT(B951,"yyyy-mm")</f>
        <v>2025-10</v>
      </c>
      <c r="D951" s="12" t="s">
        <v>53</v>
      </c>
      <c r="E951" s="12" t="s">
        <v>54</v>
      </c>
      <c r="F951" s="12" t="s">
        <v>55</v>
      </c>
      <c r="G951" s="14" t="n">
        <v>1200</v>
      </c>
      <c r="H951" s="15" t="n">
        <v>14.23</v>
      </c>
      <c r="I951" s="15" t="n">
        <v>14.21</v>
      </c>
      <c r="J951" s="16" t="n">
        <f aca="false">G951*H951</f>
        <v>17076</v>
      </c>
      <c r="K951" s="16" t="n">
        <f aca="false">(H951-I951)*G951</f>
        <v>23.9999999999995</v>
      </c>
      <c r="L951" s="17" t="n">
        <f aca="false">IF(I951=0,0,H951/I951-1)</f>
        <v>0.00140745953553822</v>
      </c>
      <c r="M951" s="14" t="n">
        <v>1</v>
      </c>
      <c r="N951" s="18" t="n">
        <v>0.02</v>
      </c>
    </row>
    <row r="952" customFormat="false" ht="15" hidden="false" customHeight="false" outlineLevel="0" collapsed="false">
      <c r="A952" s="12" t="s">
        <v>1011</v>
      </c>
      <c r="B952" s="13" t="n">
        <v>45943</v>
      </c>
      <c r="C952" s="12" t="str">
        <f aca="false">TEXT(B952,"yyyy-mm")</f>
        <v>2025-10</v>
      </c>
      <c r="D952" s="12" t="s">
        <v>35</v>
      </c>
      <c r="E952" s="12" t="s">
        <v>43</v>
      </c>
      <c r="F952" s="12" t="s">
        <v>44</v>
      </c>
      <c r="G952" s="14" t="n">
        <v>1200</v>
      </c>
      <c r="H952" s="15" t="n">
        <v>15.93</v>
      </c>
      <c r="I952" s="15" t="n">
        <v>15.65</v>
      </c>
      <c r="J952" s="16" t="n">
        <f aca="false">G952*H952</f>
        <v>19116</v>
      </c>
      <c r="K952" s="16" t="n">
        <f aca="false">(H952-I952)*G952</f>
        <v>335.999999999999</v>
      </c>
      <c r="L952" s="17" t="n">
        <f aca="false">IF(I952=0,0,H952/I952-1)</f>
        <v>0.0178913738019169</v>
      </c>
      <c r="M952" s="14" t="n">
        <v>1</v>
      </c>
      <c r="N952" s="18" t="n">
        <v>0.012</v>
      </c>
    </row>
    <row r="953" customFormat="false" ht="15" hidden="false" customHeight="false" outlineLevel="0" collapsed="false">
      <c r="A953" s="12" t="s">
        <v>1012</v>
      </c>
      <c r="B953" s="13" t="n">
        <v>45943</v>
      </c>
      <c r="C953" s="12" t="str">
        <f aca="false">TEXT(B953,"yyyy-mm")</f>
        <v>2025-10</v>
      </c>
      <c r="D953" s="12" t="s">
        <v>53</v>
      </c>
      <c r="E953" s="12" t="s">
        <v>54</v>
      </c>
      <c r="F953" s="12" t="s">
        <v>55</v>
      </c>
      <c r="G953" s="14" t="n">
        <v>1600</v>
      </c>
      <c r="H953" s="15" t="n">
        <v>15.06</v>
      </c>
      <c r="I953" s="15" t="n">
        <v>14.45</v>
      </c>
      <c r="J953" s="16" t="n">
        <f aca="false">G953*H953</f>
        <v>24096</v>
      </c>
      <c r="K953" s="16" t="n">
        <f aca="false">(H953-I953)*G953</f>
        <v>976.000000000002</v>
      </c>
      <c r="L953" s="17" t="n">
        <f aca="false">IF(I953=0,0,H953/I953-1)</f>
        <v>0.0422145328719723</v>
      </c>
      <c r="M953" s="14" t="n">
        <v>1</v>
      </c>
      <c r="N953" s="18" t="n">
        <v>0.011</v>
      </c>
    </row>
    <row r="954" customFormat="false" ht="15" hidden="false" customHeight="false" outlineLevel="0" collapsed="false">
      <c r="A954" s="12" t="s">
        <v>1013</v>
      </c>
      <c r="B954" s="13" t="n">
        <v>45944</v>
      </c>
      <c r="C954" s="12" t="str">
        <f aca="false">TEXT(B954,"yyyy-mm")</f>
        <v>2025-10</v>
      </c>
      <c r="D954" s="12" t="s">
        <v>39</v>
      </c>
      <c r="E954" s="12" t="s">
        <v>49</v>
      </c>
      <c r="F954" s="12" t="s">
        <v>50</v>
      </c>
      <c r="G954" s="14" t="n">
        <v>400</v>
      </c>
      <c r="H954" s="15" t="n">
        <v>17.17</v>
      </c>
      <c r="I954" s="15" t="n">
        <v>17.56</v>
      </c>
      <c r="J954" s="16" t="n">
        <f aca="false">G954*H954</f>
        <v>6868</v>
      </c>
      <c r="K954" s="16" t="n">
        <f aca="false">(H954-I954)*G954</f>
        <v>-155.999999999999</v>
      </c>
      <c r="L954" s="17" t="n">
        <f aca="false">IF(I954=0,0,H954/I954-1)</f>
        <v>-0.0222095671981775</v>
      </c>
      <c r="M954" s="14" t="n">
        <v>1</v>
      </c>
      <c r="N954" s="18" t="n">
        <v>0.038</v>
      </c>
    </row>
    <row r="955" customFormat="false" ht="15" hidden="false" customHeight="false" outlineLevel="0" collapsed="false">
      <c r="A955" s="12" t="s">
        <v>1014</v>
      </c>
      <c r="B955" s="13" t="n">
        <v>45944</v>
      </c>
      <c r="C955" s="12" t="str">
        <f aca="false">TEXT(B955,"yyyy-mm")</f>
        <v>2025-10</v>
      </c>
      <c r="D955" s="12" t="s">
        <v>58</v>
      </c>
      <c r="E955" s="12" t="s">
        <v>59</v>
      </c>
      <c r="F955" s="12" t="s">
        <v>55</v>
      </c>
      <c r="G955" s="14" t="n">
        <v>1000</v>
      </c>
      <c r="H955" s="15" t="n">
        <v>30.03</v>
      </c>
      <c r="I955" s="15" t="n">
        <v>27.54</v>
      </c>
      <c r="J955" s="16" t="n">
        <f aca="false">G955*H955</f>
        <v>30030</v>
      </c>
      <c r="K955" s="16" t="n">
        <f aca="false">(H955-I955)*G955</f>
        <v>2490</v>
      </c>
      <c r="L955" s="17" t="n">
        <f aca="false">IF(I955=0,0,H955/I955-1)</f>
        <v>0.0904139433551199</v>
      </c>
      <c r="M955" s="14" t="n">
        <v>1</v>
      </c>
      <c r="N955" s="18" t="n">
        <v>0.019</v>
      </c>
    </row>
    <row r="956" customFormat="false" ht="15" hidden="false" customHeight="false" outlineLevel="0" collapsed="false">
      <c r="A956" s="12" t="s">
        <v>1015</v>
      </c>
      <c r="B956" s="13" t="n">
        <v>45944</v>
      </c>
      <c r="C956" s="12" t="str">
        <f aca="false">TEXT(B956,"yyyy-mm")</f>
        <v>2025-10</v>
      </c>
      <c r="D956" s="12" t="s">
        <v>35</v>
      </c>
      <c r="E956" s="12" t="s">
        <v>36</v>
      </c>
      <c r="F956" s="12" t="s">
        <v>37</v>
      </c>
      <c r="G956" s="14" t="n">
        <v>1600</v>
      </c>
      <c r="H956" s="15" t="n">
        <v>16.27</v>
      </c>
      <c r="I956" s="15" t="n">
        <v>15.85</v>
      </c>
      <c r="J956" s="16" t="n">
        <f aca="false">G956*H956</f>
        <v>26032</v>
      </c>
      <c r="K956" s="16" t="n">
        <f aca="false">(H956-I956)*G956</f>
        <v>672</v>
      </c>
      <c r="L956" s="17" t="n">
        <f aca="false">IF(I956=0,0,H956/I956-1)</f>
        <v>0.0264984227129337</v>
      </c>
      <c r="M956" s="14" t="n">
        <v>1</v>
      </c>
      <c r="N956" s="18" t="n">
        <v>0.03</v>
      </c>
    </row>
    <row r="957" customFormat="false" ht="15" hidden="false" customHeight="false" outlineLevel="0" collapsed="false">
      <c r="A957" s="12" t="s">
        <v>1016</v>
      </c>
      <c r="B957" s="13" t="n">
        <v>45945</v>
      </c>
      <c r="C957" s="12" t="str">
        <f aca="false">TEXT(B957,"yyyy-mm")</f>
        <v>2025-10</v>
      </c>
      <c r="D957" s="12" t="s">
        <v>39</v>
      </c>
      <c r="E957" s="12" t="s">
        <v>49</v>
      </c>
      <c r="F957" s="12" t="s">
        <v>50</v>
      </c>
      <c r="G957" s="14" t="n">
        <v>1200</v>
      </c>
      <c r="H957" s="15" t="n">
        <v>17.86</v>
      </c>
      <c r="I957" s="15" t="n">
        <v>17.97</v>
      </c>
      <c r="J957" s="16" t="n">
        <f aca="false">G957*H957</f>
        <v>21432</v>
      </c>
      <c r="K957" s="16" t="n">
        <f aca="false">(H957-I957)*G957</f>
        <v>-131.999999999999</v>
      </c>
      <c r="L957" s="17" t="n">
        <f aca="false">IF(I957=0,0,H957/I957-1)</f>
        <v>-0.00612131329994436</v>
      </c>
      <c r="M957" s="14" t="n">
        <v>1</v>
      </c>
      <c r="N957" s="18" t="n">
        <v>0.011</v>
      </c>
    </row>
    <row r="958" customFormat="false" ht="15" hidden="false" customHeight="false" outlineLevel="0" collapsed="false">
      <c r="A958" s="12" t="s">
        <v>1017</v>
      </c>
      <c r="B958" s="13" t="n">
        <v>45945</v>
      </c>
      <c r="C958" s="12" t="str">
        <f aca="false">TEXT(B958,"yyyy-mm")</f>
        <v>2025-10</v>
      </c>
      <c r="D958" s="12" t="s">
        <v>58</v>
      </c>
      <c r="E958" s="12" t="s">
        <v>76</v>
      </c>
      <c r="F958" s="12" t="s">
        <v>77</v>
      </c>
      <c r="G958" s="14" t="n">
        <v>200</v>
      </c>
      <c r="H958" s="15" t="n">
        <v>27.27</v>
      </c>
      <c r="I958" s="15" t="n">
        <v>27.78</v>
      </c>
      <c r="J958" s="16" t="n">
        <f aca="false">G958*H958</f>
        <v>5454</v>
      </c>
      <c r="K958" s="16" t="n">
        <f aca="false">(H958-I958)*G958</f>
        <v>-102</v>
      </c>
      <c r="L958" s="17" t="n">
        <f aca="false">IF(I958=0,0,H958/I958-1)</f>
        <v>-0.0183585313174947</v>
      </c>
      <c r="M958" s="14" t="n">
        <v>1</v>
      </c>
      <c r="N958" s="18" t="n">
        <v>0.041</v>
      </c>
    </row>
    <row r="959" customFormat="false" ht="15" hidden="false" customHeight="false" outlineLevel="0" collapsed="false">
      <c r="A959" s="12" t="s">
        <v>1018</v>
      </c>
      <c r="B959" s="13" t="n">
        <v>45945</v>
      </c>
      <c r="C959" s="12" t="str">
        <f aca="false">TEXT(B959,"yyyy-mm")</f>
        <v>2025-10</v>
      </c>
      <c r="D959" s="12" t="s">
        <v>58</v>
      </c>
      <c r="E959" s="12" t="s">
        <v>76</v>
      </c>
      <c r="F959" s="12" t="s">
        <v>77</v>
      </c>
      <c r="G959" s="14" t="n">
        <v>1200</v>
      </c>
      <c r="H959" s="15" t="n">
        <v>26.19</v>
      </c>
      <c r="I959" s="15" t="n">
        <v>26.42</v>
      </c>
      <c r="J959" s="16" t="n">
        <f aca="false">G959*H959</f>
        <v>31428</v>
      </c>
      <c r="K959" s="16" t="n">
        <f aca="false">(H959-I959)*G959</f>
        <v>-276.000000000001</v>
      </c>
      <c r="L959" s="17" t="n">
        <f aca="false">IF(I959=0,0,H959/I959-1)</f>
        <v>-0.00870552611657838</v>
      </c>
      <c r="M959" s="14" t="n">
        <v>1</v>
      </c>
      <c r="N959" s="18" t="n">
        <v>0.016</v>
      </c>
    </row>
    <row r="960" customFormat="false" ht="15" hidden="false" customHeight="false" outlineLevel="0" collapsed="false">
      <c r="A960" s="12" t="s">
        <v>1019</v>
      </c>
      <c r="B960" s="13" t="n">
        <v>45945</v>
      </c>
      <c r="C960" s="12" t="str">
        <f aca="false">TEXT(B960,"yyyy-mm")</f>
        <v>2025-10</v>
      </c>
      <c r="D960" s="12" t="s">
        <v>61</v>
      </c>
      <c r="E960" s="12" t="s">
        <v>36</v>
      </c>
      <c r="F960" s="12" t="s">
        <v>37</v>
      </c>
      <c r="G960" s="14" t="n">
        <v>1600</v>
      </c>
      <c r="H960" s="15" t="n">
        <v>14.25</v>
      </c>
      <c r="I960" s="15" t="n">
        <v>14.25</v>
      </c>
      <c r="J960" s="16" t="n">
        <f aca="false">G960*H960</f>
        <v>22800</v>
      </c>
      <c r="K960" s="16" t="n">
        <f aca="false">(H960-I960)*G960</f>
        <v>0</v>
      </c>
      <c r="L960" s="17" t="n">
        <f aca="false">IF(I960=0,0,H960/I960-1)</f>
        <v>0</v>
      </c>
      <c r="M960" s="14" t="n">
        <v>1</v>
      </c>
      <c r="N960" s="18" t="n">
        <v>0.019</v>
      </c>
    </row>
    <row r="961" customFormat="false" ht="15" hidden="false" customHeight="false" outlineLevel="0" collapsed="false">
      <c r="A961" s="12" t="s">
        <v>1020</v>
      </c>
      <c r="B961" s="13" t="n">
        <v>45945</v>
      </c>
      <c r="C961" s="12" t="str">
        <f aca="false">TEXT(B961,"yyyy-mm")</f>
        <v>2025-10</v>
      </c>
      <c r="D961" s="12" t="s">
        <v>53</v>
      </c>
      <c r="E961" s="12" t="s">
        <v>54</v>
      </c>
      <c r="F961" s="12" t="s">
        <v>55</v>
      </c>
      <c r="G961" s="14" t="n">
        <v>600</v>
      </c>
      <c r="H961" s="15" t="n">
        <v>14.41</v>
      </c>
      <c r="I961" s="15" t="n">
        <v>14.06</v>
      </c>
      <c r="J961" s="16" t="n">
        <f aca="false">G961*H961</f>
        <v>8646</v>
      </c>
      <c r="K961" s="16" t="n">
        <f aca="false">(H961-I961)*G961</f>
        <v>210</v>
      </c>
      <c r="L961" s="17" t="n">
        <f aca="false">IF(I961=0,0,H961/I961-1)</f>
        <v>0.0248933143669985</v>
      </c>
      <c r="M961" s="14" t="n">
        <v>1</v>
      </c>
      <c r="N961" s="18" t="n">
        <v>0.014</v>
      </c>
    </row>
    <row r="962" customFormat="false" ht="15" hidden="false" customHeight="false" outlineLevel="0" collapsed="false">
      <c r="A962" s="12" t="s">
        <v>1021</v>
      </c>
      <c r="B962" s="13" t="n">
        <v>45945</v>
      </c>
      <c r="C962" s="12" t="str">
        <f aca="false">TEXT(B962,"yyyy-mm")</f>
        <v>2025-10</v>
      </c>
      <c r="D962" s="12" t="s">
        <v>35</v>
      </c>
      <c r="E962" s="12" t="s">
        <v>43</v>
      </c>
      <c r="F962" s="12" t="s">
        <v>44</v>
      </c>
      <c r="G962" s="14" t="n">
        <v>1200</v>
      </c>
      <c r="H962" s="15" t="n">
        <v>16.73</v>
      </c>
      <c r="I962" s="15" t="n">
        <v>16.14</v>
      </c>
      <c r="J962" s="16" t="n">
        <f aca="false">G962*H962</f>
        <v>20076</v>
      </c>
      <c r="K962" s="16" t="n">
        <f aca="false">(H962-I962)*G962</f>
        <v>708</v>
      </c>
      <c r="L962" s="17" t="n">
        <f aca="false">IF(I962=0,0,H962/I962-1)</f>
        <v>0.0365551425030979</v>
      </c>
      <c r="M962" s="14" t="n">
        <v>1</v>
      </c>
      <c r="N962" s="18" t="n">
        <v>0.01</v>
      </c>
    </row>
    <row r="963" customFormat="false" ht="15" hidden="false" customHeight="false" outlineLevel="0" collapsed="false">
      <c r="A963" s="12" t="s">
        <v>1022</v>
      </c>
      <c r="B963" s="13" t="n">
        <v>45946</v>
      </c>
      <c r="C963" s="12" t="str">
        <f aca="false">TEXT(B963,"yyyy-mm")</f>
        <v>2025-10</v>
      </c>
      <c r="D963" s="12" t="s">
        <v>61</v>
      </c>
      <c r="E963" s="12" t="s">
        <v>43</v>
      </c>
      <c r="F963" s="12" t="s">
        <v>44</v>
      </c>
      <c r="G963" s="14" t="n">
        <v>1600</v>
      </c>
      <c r="H963" s="15" t="n">
        <v>14.46</v>
      </c>
      <c r="I963" s="15" t="n">
        <v>13.83</v>
      </c>
      <c r="J963" s="16" t="n">
        <f aca="false">G963*H963</f>
        <v>23136</v>
      </c>
      <c r="K963" s="16" t="n">
        <f aca="false">(H963-I963)*G963</f>
        <v>1008</v>
      </c>
      <c r="L963" s="17" t="n">
        <f aca="false">IF(I963=0,0,H963/I963-1)</f>
        <v>0.0455531453362257</v>
      </c>
      <c r="M963" s="14" t="n">
        <v>1</v>
      </c>
      <c r="N963" s="18" t="n">
        <v>0.015</v>
      </c>
    </row>
    <row r="964" customFormat="false" ht="15" hidden="false" customHeight="false" outlineLevel="0" collapsed="false">
      <c r="A964" s="12" t="s">
        <v>1023</v>
      </c>
      <c r="B964" s="13" t="n">
        <v>45946</v>
      </c>
      <c r="C964" s="12" t="str">
        <f aca="false">TEXT(B964,"yyyy-mm")</f>
        <v>2025-10</v>
      </c>
      <c r="D964" s="12" t="s">
        <v>75</v>
      </c>
      <c r="E964" s="12" t="s">
        <v>40</v>
      </c>
      <c r="F964" s="12" t="s">
        <v>41</v>
      </c>
      <c r="G964" s="14" t="n">
        <v>1200</v>
      </c>
      <c r="H964" s="15" t="n">
        <v>22.22</v>
      </c>
      <c r="I964" s="15" t="n">
        <v>22.53</v>
      </c>
      <c r="J964" s="16" t="n">
        <f aca="false">G964*H964</f>
        <v>26664</v>
      </c>
      <c r="K964" s="16" t="n">
        <f aca="false">(H964-I964)*G964</f>
        <v>-372.000000000003</v>
      </c>
      <c r="L964" s="17" t="n">
        <f aca="false">IF(I964=0,0,H964/I964-1)</f>
        <v>-0.0137594318686197</v>
      </c>
      <c r="M964" s="14" t="n">
        <v>1</v>
      </c>
      <c r="N964" s="18" t="n">
        <v>0.012</v>
      </c>
    </row>
    <row r="965" customFormat="false" ht="15" hidden="false" customHeight="false" outlineLevel="0" collapsed="false">
      <c r="A965" s="12" t="s">
        <v>1024</v>
      </c>
      <c r="B965" s="13" t="n">
        <v>45946</v>
      </c>
      <c r="C965" s="12" t="str">
        <f aca="false">TEXT(B965,"yyyy-mm")</f>
        <v>2025-10</v>
      </c>
      <c r="D965" s="12" t="s">
        <v>61</v>
      </c>
      <c r="E965" s="12" t="s">
        <v>43</v>
      </c>
      <c r="F965" s="12" t="s">
        <v>44</v>
      </c>
      <c r="G965" s="14" t="n">
        <v>2000</v>
      </c>
      <c r="H965" s="15" t="n">
        <v>14.58</v>
      </c>
      <c r="I965" s="15" t="n">
        <v>14.29</v>
      </c>
      <c r="J965" s="16" t="n">
        <f aca="false">G965*H965</f>
        <v>29160</v>
      </c>
      <c r="K965" s="16" t="n">
        <f aca="false">(H965-I965)*G965</f>
        <v>580.000000000002</v>
      </c>
      <c r="L965" s="17" t="n">
        <f aca="false">IF(I965=0,0,H965/I965-1)</f>
        <v>0.0202939118264522</v>
      </c>
      <c r="M965" s="14" t="n">
        <v>1</v>
      </c>
      <c r="N965" s="18" t="n">
        <v>0.015</v>
      </c>
    </row>
    <row r="966" customFormat="false" ht="15" hidden="false" customHeight="false" outlineLevel="0" collapsed="false">
      <c r="A966" s="12" t="s">
        <v>1025</v>
      </c>
      <c r="B966" s="13" t="n">
        <v>45947</v>
      </c>
      <c r="C966" s="12" t="str">
        <f aca="false">TEXT(B966,"yyyy-mm")</f>
        <v>2025-10</v>
      </c>
      <c r="D966" s="12" t="s">
        <v>35</v>
      </c>
      <c r="E966" s="12" t="s">
        <v>43</v>
      </c>
      <c r="F966" s="12" t="s">
        <v>44</v>
      </c>
      <c r="G966" s="14" t="n">
        <v>2000</v>
      </c>
      <c r="H966" s="15" t="n">
        <v>16.75</v>
      </c>
      <c r="I966" s="15" t="n">
        <v>16.11</v>
      </c>
      <c r="J966" s="16" t="n">
        <f aca="false">G966*H966</f>
        <v>33500</v>
      </c>
      <c r="K966" s="16" t="n">
        <f aca="false">(H966-I966)*G966</f>
        <v>1280</v>
      </c>
      <c r="L966" s="17" t="n">
        <f aca="false">IF(I966=0,0,H966/I966-1)</f>
        <v>0.0397268777157045</v>
      </c>
      <c r="M966" s="14" t="n">
        <v>0</v>
      </c>
      <c r="N966" s="18" t="n">
        <v>0.01</v>
      </c>
    </row>
    <row r="967" customFormat="false" ht="15" hidden="false" customHeight="false" outlineLevel="0" collapsed="false">
      <c r="A967" s="12" t="s">
        <v>1026</v>
      </c>
      <c r="B967" s="13" t="n">
        <v>45947</v>
      </c>
      <c r="C967" s="12" t="str">
        <f aca="false">TEXT(B967,"yyyy-mm")</f>
        <v>2025-10</v>
      </c>
      <c r="D967" s="12" t="s">
        <v>111</v>
      </c>
      <c r="E967" s="12" t="s">
        <v>76</v>
      </c>
      <c r="F967" s="12" t="s">
        <v>77</v>
      </c>
      <c r="G967" s="14" t="n">
        <v>2000</v>
      </c>
      <c r="H967" s="15" t="n">
        <v>19.01</v>
      </c>
      <c r="I967" s="15" t="n">
        <v>18.34</v>
      </c>
      <c r="J967" s="16" t="n">
        <f aca="false">G967*H967</f>
        <v>38020</v>
      </c>
      <c r="K967" s="16" t="n">
        <f aca="false">(H967-I967)*G967</f>
        <v>1340</v>
      </c>
      <c r="L967" s="17" t="n">
        <f aca="false">IF(I967=0,0,H967/I967-1)</f>
        <v>0.0365321701199566</v>
      </c>
      <c r="M967" s="14" t="n">
        <v>1</v>
      </c>
      <c r="N967" s="18" t="n">
        <v>0.026</v>
      </c>
    </row>
    <row r="968" customFormat="false" ht="15" hidden="false" customHeight="false" outlineLevel="0" collapsed="false">
      <c r="A968" s="12" t="s">
        <v>1027</v>
      </c>
      <c r="B968" s="13" t="n">
        <v>45947</v>
      </c>
      <c r="C968" s="12" t="str">
        <f aca="false">TEXT(B968,"yyyy-mm")</f>
        <v>2025-10</v>
      </c>
      <c r="D968" s="12" t="s">
        <v>53</v>
      </c>
      <c r="E968" s="12" t="s">
        <v>54</v>
      </c>
      <c r="F968" s="12" t="s">
        <v>55</v>
      </c>
      <c r="G968" s="14" t="n">
        <v>1000</v>
      </c>
      <c r="H968" s="15" t="n">
        <v>14.64</v>
      </c>
      <c r="I968" s="15" t="n">
        <v>13.92</v>
      </c>
      <c r="J968" s="16" t="n">
        <f aca="false">G968*H968</f>
        <v>14640</v>
      </c>
      <c r="K968" s="16" t="n">
        <f aca="false">(H968-I968)*G968</f>
        <v>720.000000000001</v>
      </c>
      <c r="L968" s="17" t="n">
        <f aca="false">IF(I968=0,0,H968/I968-1)</f>
        <v>0.0517241379310345</v>
      </c>
      <c r="M968" s="14" t="n">
        <v>1</v>
      </c>
      <c r="N968" s="18" t="n">
        <v>0.015</v>
      </c>
    </row>
    <row r="969" customFormat="false" ht="15" hidden="false" customHeight="false" outlineLevel="0" collapsed="false">
      <c r="A969" s="12" t="s">
        <v>1028</v>
      </c>
      <c r="B969" s="13" t="n">
        <v>45948</v>
      </c>
      <c r="C969" s="12" t="str">
        <f aca="false">TEXT(B969,"yyyy-mm")</f>
        <v>2025-10</v>
      </c>
      <c r="D969" s="12" t="s">
        <v>35</v>
      </c>
      <c r="E969" s="12" t="s">
        <v>43</v>
      </c>
      <c r="F969" s="12" t="s">
        <v>44</v>
      </c>
      <c r="G969" s="14" t="n">
        <v>2400</v>
      </c>
      <c r="H969" s="15" t="n">
        <v>16.09</v>
      </c>
      <c r="I969" s="15" t="n">
        <v>15.98</v>
      </c>
      <c r="J969" s="16" t="n">
        <f aca="false">G969*H969</f>
        <v>38616</v>
      </c>
      <c r="K969" s="16" t="n">
        <f aca="false">(H969-I969)*G969</f>
        <v>263.999999999999</v>
      </c>
      <c r="L969" s="17" t="n">
        <f aca="false">IF(I969=0,0,H969/I969-1)</f>
        <v>0.00688360450563197</v>
      </c>
      <c r="M969" s="14" t="n">
        <v>1</v>
      </c>
      <c r="N969" s="18" t="n">
        <v>0.003</v>
      </c>
    </row>
    <row r="970" customFormat="false" ht="15" hidden="false" customHeight="false" outlineLevel="0" collapsed="false">
      <c r="A970" s="12" t="s">
        <v>1029</v>
      </c>
      <c r="B970" s="13" t="n">
        <v>45949</v>
      </c>
      <c r="C970" s="12" t="str">
        <f aca="false">TEXT(B970,"yyyy-mm")</f>
        <v>2025-10</v>
      </c>
      <c r="D970" s="12" t="s">
        <v>61</v>
      </c>
      <c r="E970" s="12" t="s">
        <v>36</v>
      </c>
      <c r="F970" s="12" t="s">
        <v>37</v>
      </c>
      <c r="G970" s="14" t="n">
        <v>1600</v>
      </c>
      <c r="H970" s="15" t="n">
        <v>13.25</v>
      </c>
      <c r="I970" s="15" t="n">
        <v>13.78</v>
      </c>
      <c r="J970" s="16" t="n">
        <f aca="false">G970*H970</f>
        <v>21200</v>
      </c>
      <c r="K970" s="16" t="n">
        <f aca="false">(H970-I970)*G970</f>
        <v>-847.999999999999</v>
      </c>
      <c r="L970" s="17" t="n">
        <f aca="false">IF(I970=0,0,H970/I970-1)</f>
        <v>-0.0384615384615384</v>
      </c>
      <c r="M970" s="14" t="n">
        <v>0</v>
      </c>
      <c r="N970" s="18" t="n">
        <v>0.015</v>
      </c>
    </row>
    <row r="971" customFormat="false" ht="15" hidden="false" customHeight="false" outlineLevel="0" collapsed="false">
      <c r="A971" s="12" t="s">
        <v>1030</v>
      </c>
      <c r="B971" s="13" t="n">
        <v>45949</v>
      </c>
      <c r="C971" s="12" t="str">
        <f aca="false">TEXT(B971,"yyyy-mm")</f>
        <v>2025-10</v>
      </c>
      <c r="D971" s="12" t="s">
        <v>75</v>
      </c>
      <c r="E971" s="12" t="s">
        <v>76</v>
      </c>
      <c r="F971" s="12" t="s">
        <v>77</v>
      </c>
      <c r="G971" s="14" t="n">
        <v>1600</v>
      </c>
      <c r="H971" s="15" t="n">
        <v>22.72</v>
      </c>
      <c r="I971" s="15" t="n">
        <v>22.57</v>
      </c>
      <c r="J971" s="16" t="n">
        <f aca="false">G971*H971</f>
        <v>36352</v>
      </c>
      <c r="K971" s="16" t="n">
        <f aca="false">(H971-I971)*G971</f>
        <v>239.999999999998</v>
      </c>
      <c r="L971" s="17" t="n">
        <f aca="false">IF(I971=0,0,H971/I971-1)</f>
        <v>0.00664599025254753</v>
      </c>
      <c r="M971" s="14" t="n">
        <v>1</v>
      </c>
      <c r="N971" s="18" t="n">
        <v>0.018</v>
      </c>
    </row>
    <row r="972" customFormat="false" ht="15" hidden="false" customHeight="false" outlineLevel="0" collapsed="false">
      <c r="A972" s="12" t="s">
        <v>1031</v>
      </c>
      <c r="B972" s="13" t="n">
        <v>45949</v>
      </c>
      <c r="C972" s="12" t="str">
        <f aca="false">TEXT(B972,"yyyy-mm")</f>
        <v>2025-10</v>
      </c>
      <c r="D972" s="12" t="s">
        <v>53</v>
      </c>
      <c r="E972" s="12" t="s">
        <v>54</v>
      </c>
      <c r="F972" s="12" t="s">
        <v>55</v>
      </c>
      <c r="G972" s="14" t="n">
        <v>1000</v>
      </c>
      <c r="H972" s="15" t="n">
        <v>14.32</v>
      </c>
      <c r="I972" s="15" t="n">
        <v>14.41</v>
      </c>
      <c r="J972" s="16" t="n">
        <f aca="false">G972*H972</f>
        <v>14320</v>
      </c>
      <c r="K972" s="16" t="n">
        <f aca="false">(H972-I972)*G972</f>
        <v>-89.9999999999999</v>
      </c>
      <c r="L972" s="17" t="n">
        <f aca="false">IF(I972=0,0,H972/I972-1)</f>
        <v>-0.00624566273421234</v>
      </c>
      <c r="M972" s="14" t="n">
        <v>1</v>
      </c>
      <c r="N972" s="18" t="n">
        <v>0.02</v>
      </c>
    </row>
    <row r="973" customFormat="false" ht="15" hidden="false" customHeight="false" outlineLevel="0" collapsed="false">
      <c r="A973" s="12" t="s">
        <v>1032</v>
      </c>
      <c r="B973" s="13" t="n">
        <v>45949</v>
      </c>
      <c r="C973" s="12" t="str">
        <f aca="false">TEXT(B973,"yyyy-mm")</f>
        <v>2025-10</v>
      </c>
      <c r="D973" s="12" t="s">
        <v>58</v>
      </c>
      <c r="E973" s="12" t="s">
        <v>59</v>
      </c>
      <c r="F973" s="12" t="s">
        <v>55</v>
      </c>
      <c r="G973" s="14" t="n">
        <v>1000</v>
      </c>
      <c r="H973" s="15" t="n">
        <v>29.91</v>
      </c>
      <c r="I973" s="15" t="n">
        <v>27.39</v>
      </c>
      <c r="J973" s="16" t="n">
        <f aca="false">G973*H973</f>
        <v>29910</v>
      </c>
      <c r="K973" s="16" t="n">
        <f aca="false">(H973-I973)*G973</f>
        <v>2520</v>
      </c>
      <c r="L973" s="17" t="n">
        <f aca="false">IF(I973=0,0,H973/I973-1)</f>
        <v>0.0920043811610076</v>
      </c>
      <c r="M973" s="14" t="n">
        <v>1</v>
      </c>
      <c r="N973" s="18" t="n">
        <v>0.017</v>
      </c>
    </row>
    <row r="974" customFormat="false" ht="15" hidden="false" customHeight="false" outlineLevel="0" collapsed="false">
      <c r="A974" s="12" t="s">
        <v>1033</v>
      </c>
      <c r="B974" s="13" t="n">
        <v>45949</v>
      </c>
      <c r="C974" s="12" t="str">
        <f aca="false">TEXT(B974,"yyyy-mm")</f>
        <v>2025-10</v>
      </c>
      <c r="D974" s="12" t="s">
        <v>80</v>
      </c>
      <c r="E974" s="12" t="s">
        <v>92</v>
      </c>
      <c r="F974" s="12" t="s">
        <v>93</v>
      </c>
      <c r="G974" s="14" t="n">
        <v>800</v>
      </c>
      <c r="H974" s="15" t="n">
        <v>20.61</v>
      </c>
      <c r="I974" s="15" t="n">
        <v>21.19</v>
      </c>
      <c r="J974" s="16" t="n">
        <f aca="false">G974*H974</f>
        <v>16488</v>
      </c>
      <c r="K974" s="16" t="n">
        <f aca="false">(H974-I974)*G974</f>
        <v>-464.000000000002</v>
      </c>
      <c r="L974" s="17" t="n">
        <f aca="false">IF(I974=0,0,H974/I974-1)</f>
        <v>-0.0273714016045306</v>
      </c>
      <c r="M974" s="14" t="n">
        <v>1</v>
      </c>
      <c r="N974" s="18" t="n">
        <v>0.038</v>
      </c>
    </row>
    <row r="975" customFormat="false" ht="15" hidden="false" customHeight="false" outlineLevel="0" collapsed="false">
      <c r="A975" s="12" t="s">
        <v>1034</v>
      </c>
      <c r="B975" s="13" t="n">
        <v>45950</v>
      </c>
      <c r="C975" s="12" t="str">
        <f aca="false">TEXT(B975,"yyyy-mm")</f>
        <v>2025-10</v>
      </c>
      <c r="D975" s="12" t="s">
        <v>35</v>
      </c>
      <c r="E975" s="12" t="s">
        <v>43</v>
      </c>
      <c r="F975" s="12" t="s">
        <v>44</v>
      </c>
      <c r="G975" s="14" t="n">
        <v>1200</v>
      </c>
      <c r="H975" s="15" t="n">
        <v>16.85</v>
      </c>
      <c r="I975" s="15" t="n">
        <v>15.93</v>
      </c>
      <c r="J975" s="16" t="n">
        <f aca="false">G975*H975</f>
        <v>20220</v>
      </c>
      <c r="K975" s="16" t="n">
        <f aca="false">(H975-I975)*G975</f>
        <v>1104</v>
      </c>
      <c r="L975" s="17" t="n">
        <f aca="false">IF(I975=0,0,H975/I975-1)</f>
        <v>0.0577526679221596</v>
      </c>
      <c r="M975" s="14" t="n">
        <v>1</v>
      </c>
      <c r="N975" s="18" t="n">
        <v>0.005</v>
      </c>
    </row>
    <row r="976" customFormat="false" ht="15" hidden="false" customHeight="false" outlineLevel="0" collapsed="false">
      <c r="A976" s="12" t="s">
        <v>1035</v>
      </c>
      <c r="B976" s="13" t="n">
        <v>45951</v>
      </c>
      <c r="C976" s="12" t="str">
        <f aca="false">TEXT(B976,"yyyy-mm")</f>
        <v>2025-10</v>
      </c>
      <c r="D976" s="12" t="s">
        <v>35</v>
      </c>
      <c r="E976" s="12" t="s">
        <v>43</v>
      </c>
      <c r="F976" s="12" t="s">
        <v>44</v>
      </c>
      <c r="G976" s="14" t="n">
        <v>3200</v>
      </c>
      <c r="H976" s="15" t="n">
        <v>16.94</v>
      </c>
      <c r="I976" s="15" t="n">
        <v>16.28</v>
      </c>
      <c r="J976" s="16" t="n">
        <f aca="false">G976*H976</f>
        <v>54208</v>
      </c>
      <c r="K976" s="16" t="n">
        <f aca="false">(H976-I976)*G976</f>
        <v>2112</v>
      </c>
      <c r="L976" s="17" t="n">
        <f aca="false">IF(I976=0,0,H976/I976-1)</f>
        <v>0.0405405405405406</v>
      </c>
      <c r="M976" s="14" t="n">
        <v>1</v>
      </c>
      <c r="N976" s="18" t="n">
        <v>0.012</v>
      </c>
    </row>
    <row r="977" customFormat="false" ht="15" hidden="false" customHeight="false" outlineLevel="0" collapsed="false">
      <c r="A977" s="12" t="s">
        <v>1036</v>
      </c>
      <c r="B977" s="13" t="n">
        <v>45951</v>
      </c>
      <c r="C977" s="12" t="str">
        <f aca="false">TEXT(B977,"yyyy-mm")</f>
        <v>2025-10</v>
      </c>
      <c r="D977" s="12" t="s">
        <v>53</v>
      </c>
      <c r="E977" s="12" t="s">
        <v>49</v>
      </c>
      <c r="F977" s="12" t="s">
        <v>50</v>
      </c>
      <c r="G977" s="14" t="n">
        <v>1600</v>
      </c>
      <c r="H977" s="15" t="n">
        <v>13.84</v>
      </c>
      <c r="I977" s="15" t="n">
        <v>14.26</v>
      </c>
      <c r="J977" s="16" t="n">
        <f aca="false">G977*H977</f>
        <v>22144</v>
      </c>
      <c r="K977" s="16" t="n">
        <f aca="false">(H977-I977)*G977</f>
        <v>-672</v>
      </c>
      <c r="L977" s="17" t="n">
        <f aca="false">IF(I977=0,0,H977/I977-1)</f>
        <v>-0.02945301542777</v>
      </c>
      <c r="M977" s="14" t="n">
        <v>1</v>
      </c>
      <c r="N977" s="18" t="n">
        <v>0.03</v>
      </c>
    </row>
    <row r="978" customFormat="false" ht="15" hidden="false" customHeight="false" outlineLevel="0" collapsed="false">
      <c r="A978" s="12" t="s">
        <v>1037</v>
      </c>
      <c r="B978" s="13" t="n">
        <v>45951</v>
      </c>
      <c r="C978" s="12" t="str">
        <f aca="false">TEXT(B978,"yyyy-mm")</f>
        <v>2025-10</v>
      </c>
      <c r="D978" s="12" t="s">
        <v>75</v>
      </c>
      <c r="E978" s="12" t="s">
        <v>49</v>
      </c>
      <c r="F978" s="12" t="s">
        <v>50</v>
      </c>
      <c r="G978" s="14" t="n">
        <v>1600</v>
      </c>
      <c r="H978" s="15" t="n">
        <v>21.37</v>
      </c>
      <c r="I978" s="15" t="n">
        <v>21.96</v>
      </c>
      <c r="J978" s="16" t="n">
        <f aca="false">G978*H978</f>
        <v>34192</v>
      </c>
      <c r="K978" s="16" t="n">
        <f aca="false">(H978-I978)*G978</f>
        <v>-944</v>
      </c>
      <c r="L978" s="17" t="n">
        <f aca="false">IF(I978=0,0,H978/I978-1)</f>
        <v>-0.0268670309653916</v>
      </c>
      <c r="M978" s="14" t="n">
        <v>1</v>
      </c>
      <c r="N978" s="18" t="n">
        <v>0.036</v>
      </c>
    </row>
    <row r="979" customFormat="false" ht="15" hidden="false" customHeight="false" outlineLevel="0" collapsed="false">
      <c r="A979" s="12" t="s">
        <v>1038</v>
      </c>
      <c r="B979" s="13" t="n">
        <v>45952</v>
      </c>
      <c r="C979" s="12" t="str">
        <f aca="false">TEXT(B979,"yyyy-mm")</f>
        <v>2025-10</v>
      </c>
      <c r="D979" s="12" t="s">
        <v>80</v>
      </c>
      <c r="E979" s="12" t="s">
        <v>76</v>
      </c>
      <c r="F979" s="12" t="s">
        <v>77</v>
      </c>
      <c r="G979" s="14" t="n">
        <v>2000</v>
      </c>
      <c r="H979" s="15" t="n">
        <v>20.98</v>
      </c>
      <c r="I979" s="15" t="n">
        <v>21.31</v>
      </c>
      <c r="J979" s="16" t="n">
        <f aca="false">G979*H979</f>
        <v>41960</v>
      </c>
      <c r="K979" s="16" t="n">
        <f aca="false">(H979-I979)*G979</f>
        <v>-659.999999999997</v>
      </c>
      <c r="L979" s="17" t="n">
        <f aca="false">IF(I979=0,0,H979/I979-1)</f>
        <v>-0.0154856874706709</v>
      </c>
      <c r="M979" s="14" t="n">
        <v>0</v>
      </c>
      <c r="N979" s="18" t="n">
        <v>0.016</v>
      </c>
    </row>
    <row r="980" customFormat="false" ht="15" hidden="false" customHeight="false" outlineLevel="0" collapsed="false">
      <c r="A980" s="12" t="s">
        <v>1039</v>
      </c>
      <c r="B980" s="13" t="n">
        <v>45952</v>
      </c>
      <c r="C980" s="12" t="str">
        <f aca="false">TEXT(B980,"yyyy-mm")</f>
        <v>2025-10</v>
      </c>
      <c r="D980" s="12" t="s">
        <v>80</v>
      </c>
      <c r="E980" s="12" t="s">
        <v>81</v>
      </c>
      <c r="F980" s="12" t="s">
        <v>82</v>
      </c>
      <c r="G980" s="14" t="n">
        <v>600</v>
      </c>
      <c r="H980" s="15" t="n">
        <v>20.6</v>
      </c>
      <c r="I980" s="15" t="n">
        <v>20.98</v>
      </c>
      <c r="J980" s="16" t="n">
        <f aca="false">G980*H980</f>
        <v>12360</v>
      </c>
      <c r="K980" s="16" t="n">
        <f aca="false">(H980-I980)*G980</f>
        <v>-227.999999999999</v>
      </c>
      <c r="L980" s="17" t="n">
        <f aca="false">IF(I980=0,0,H980/I980-1)</f>
        <v>-0.0181124880838893</v>
      </c>
      <c r="M980" s="14" t="n">
        <v>1</v>
      </c>
      <c r="N980" s="18" t="n">
        <v>0.034</v>
      </c>
    </row>
    <row r="981" customFormat="false" ht="15" hidden="false" customHeight="false" outlineLevel="0" collapsed="false">
      <c r="A981" s="12" t="s">
        <v>1040</v>
      </c>
      <c r="B981" s="13" t="n">
        <v>45952</v>
      </c>
      <c r="C981" s="12" t="str">
        <f aca="false">TEXT(B981,"yyyy-mm")</f>
        <v>2025-10</v>
      </c>
      <c r="D981" s="12" t="s">
        <v>35</v>
      </c>
      <c r="E981" s="12" t="s">
        <v>43</v>
      </c>
      <c r="F981" s="12" t="s">
        <v>44</v>
      </c>
      <c r="G981" s="14" t="n">
        <v>400</v>
      </c>
      <c r="H981" s="15" t="n">
        <v>16.16</v>
      </c>
      <c r="I981" s="15" t="n">
        <v>16.05</v>
      </c>
      <c r="J981" s="16" t="n">
        <f aca="false">G981*H981</f>
        <v>6464</v>
      </c>
      <c r="K981" s="16" t="n">
        <f aca="false">(H981-I981)*G981</f>
        <v>43.9999999999998</v>
      </c>
      <c r="L981" s="17" t="n">
        <f aca="false">IF(I981=0,0,H981/I981-1)</f>
        <v>0.00685358255451707</v>
      </c>
      <c r="M981" s="14" t="n">
        <v>1</v>
      </c>
      <c r="N981" s="18" t="n">
        <v>0.01</v>
      </c>
    </row>
    <row r="982" customFormat="false" ht="15" hidden="false" customHeight="false" outlineLevel="0" collapsed="false">
      <c r="A982" s="12" t="s">
        <v>1041</v>
      </c>
      <c r="B982" s="13" t="n">
        <v>45952</v>
      </c>
      <c r="C982" s="12" t="str">
        <f aca="false">TEXT(B982,"yyyy-mm")</f>
        <v>2025-10</v>
      </c>
      <c r="D982" s="12" t="s">
        <v>35</v>
      </c>
      <c r="E982" s="12" t="s">
        <v>43</v>
      </c>
      <c r="F982" s="12" t="s">
        <v>44</v>
      </c>
      <c r="G982" s="14" t="n">
        <v>3200</v>
      </c>
      <c r="H982" s="15" t="n">
        <v>16.5</v>
      </c>
      <c r="I982" s="15" t="n">
        <v>16.48</v>
      </c>
      <c r="J982" s="16" t="n">
        <f aca="false">G982*H982</f>
        <v>52800</v>
      </c>
      <c r="K982" s="16" t="n">
        <f aca="false">(H982-I982)*G982</f>
        <v>63.9999999999986</v>
      </c>
      <c r="L982" s="17" t="n">
        <f aca="false">IF(I982=0,0,H982/I982-1)</f>
        <v>0.00121359223300965</v>
      </c>
      <c r="M982" s="14" t="n">
        <v>1</v>
      </c>
      <c r="N982" s="18" t="n">
        <v>0.008</v>
      </c>
    </row>
    <row r="983" customFormat="false" ht="15" hidden="false" customHeight="false" outlineLevel="0" collapsed="false">
      <c r="A983" s="12" t="s">
        <v>1042</v>
      </c>
      <c r="B983" s="13" t="n">
        <v>45954</v>
      </c>
      <c r="C983" s="12" t="str">
        <f aca="false">TEXT(B983,"yyyy-mm")</f>
        <v>2025-10</v>
      </c>
      <c r="D983" s="12" t="s">
        <v>53</v>
      </c>
      <c r="E983" s="12" t="s">
        <v>54</v>
      </c>
      <c r="F983" s="12" t="s">
        <v>55</v>
      </c>
      <c r="G983" s="14" t="n">
        <v>1200</v>
      </c>
      <c r="H983" s="15" t="n">
        <v>14.49</v>
      </c>
      <c r="I983" s="15" t="n">
        <v>14.02</v>
      </c>
      <c r="J983" s="16" t="n">
        <f aca="false">G983*H983</f>
        <v>17388</v>
      </c>
      <c r="K983" s="16" t="n">
        <f aca="false">(H983-I983)*G983</f>
        <v>564.000000000001</v>
      </c>
      <c r="L983" s="17" t="n">
        <f aca="false">IF(I983=0,0,H983/I983-1)</f>
        <v>0.0335235378031384</v>
      </c>
      <c r="M983" s="14" t="n">
        <v>1</v>
      </c>
      <c r="N983" s="18" t="n">
        <v>0.018</v>
      </c>
    </row>
    <row r="984" customFormat="false" ht="15" hidden="false" customHeight="false" outlineLevel="0" collapsed="false">
      <c r="A984" s="12" t="s">
        <v>1043</v>
      </c>
      <c r="B984" s="13" t="n">
        <v>45955</v>
      </c>
      <c r="C984" s="12" t="str">
        <f aca="false">TEXT(B984,"yyyy-mm")</f>
        <v>2025-10</v>
      </c>
      <c r="D984" s="12" t="s">
        <v>111</v>
      </c>
      <c r="E984" s="12" t="s">
        <v>76</v>
      </c>
      <c r="F984" s="12" t="s">
        <v>77</v>
      </c>
      <c r="G984" s="14" t="n">
        <v>1600</v>
      </c>
      <c r="H984" s="15" t="n">
        <v>18.15</v>
      </c>
      <c r="I984" s="15" t="n">
        <v>18.1</v>
      </c>
      <c r="J984" s="16" t="n">
        <f aca="false">G984*H984</f>
        <v>29040</v>
      </c>
      <c r="K984" s="16" t="n">
        <f aca="false">(H984-I984)*G984</f>
        <v>79.9999999999955</v>
      </c>
      <c r="L984" s="17" t="n">
        <f aca="false">IF(I984=0,0,H984/I984-1)</f>
        <v>0.00276243093922646</v>
      </c>
      <c r="M984" s="14" t="n">
        <v>1</v>
      </c>
      <c r="N984" s="18" t="n">
        <v>0.011</v>
      </c>
    </row>
    <row r="985" customFormat="false" ht="15" hidden="false" customHeight="false" outlineLevel="0" collapsed="false">
      <c r="A985" s="12" t="s">
        <v>1044</v>
      </c>
      <c r="B985" s="13" t="n">
        <v>45955</v>
      </c>
      <c r="C985" s="12" t="str">
        <f aca="false">TEXT(B985,"yyyy-mm")</f>
        <v>2025-10</v>
      </c>
      <c r="D985" s="12" t="s">
        <v>58</v>
      </c>
      <c r="E985" s="12" t="s">
        <v>40</v>
      </c>
      <c r="F985" s="12" t="s">
        <v>41</v>
      </c>
      <c r="G985" s="14" t="n">
        <v>200</v>
      </c>
      <c r="H985" s="15" t="n">
        <v>26.92</v>
      </c>
      <c r="I985" s="15" t="n">
        <v>27.47</v>
      </c>
      <c r="J985" s="16" t="n">
        <f aca="false">G985*H985</f>
        <v>5384</v>
      </c>
      <c r="K985" s="16" t="n">
        <f aca="false">(H985-I985)*G985</f>
        <v>-109.999999999999</v>
      </c>
      <c r="L985" s="17" t="n">
        <f aca="false">IF(I985=0,0,H985/I985-1)</f>
        <v>-0.0200218420094648</v>
      </c>
      <c r="M985" s="14" t="n">
        <v>1</v>
      </c>
      <c r="N985" s="18" t="n">
        <v>0.028</v>
      </c>
    </row>
    <row r="986" customFormat="false" ht="15" hidden="false" customHeight="false" outlineLevel="0" collapsed="false">
      <c r="A986" s="12" t="s">
        <v>1045</v>
      </c>
      <c r="B986" s="13" t="n">
        <v>45956</v>
      </c>
      <c r="C986" s="12" t="str">
        <f aca="false">TEXT(B986,"yyyy-mm")</f>
        <v>2025-10</v>
      </c>
      <c r="D986" s="12" t="s">
        <v>58</v>
      </c>
      <c r="E986" s="12" t="s">
        <v>76</v>
      </c>
      <c r="F986" s="12" t="s">
        <v>77</v>
      </c>
      <c r="G986" s="14" t="n">
        <v>1200</v>
      </c>
      <c r="H986" s="15" t="n">
        <v>26.25</v>
      </c>
      <c r="I986" s="15" t="n">
        <v>26.8</v>
      </c>
      <c r="J986" s="16" t="n">
        <f aca="false">G986*H986</f>
        <v>31500</v>
      </c>
      <c r="K986" s="16" t="n">
        <f aca="false">(H986-I986)*G986</f>
        <v>-660.000000000001</v>
      </c>
      <c r="L986" s="17" t="n">
        <f aca="false">IF(I986=0,0,H986/I986-1)</f>
        <v>-0.0205223880597015</v>
      </c>
      <c r="M986" s="14" t="n">
        <v>1</v>
      </c>
      <c r="N986" s="18" t="n">
        <v>0.022</v>
      </c>
    </row>
    <row r="987" customFormat="false" ht="15" hidden="false" customHeight="false" outlineLevel="0" collapsed="false">
      <c r="A987" s="12" t="s">
        <v>1046</v>
      </c>
      <c r="B987" s="13" t="n">
        <v>45956</v>
      </c>
      <c r="C987" s="12" t="str">
        <f aca="false">TEXT(B987,"yyyy-mm")</f>
        <v>2025-10</v>
      </c>
      <c r="D987" s="12" t="s">
        <v>61</v>
      </c>
      <c r="E987" s="12" t="s">
        <v>43</v>
      </c>
      <c r="F987" s="12" t="s">
        <v>44</v>
      </c>
      <c r="G987" s="14" t="n">
        <v>200</v>
      </c>
      <c r="H987" s="15" t="n">
        <v>14.28</v>
      </c>
      <c r="I987" s="15" t="n">
        <v>14.25</v>
      </c>
      <c r="J987" s="16" t="n">
        <f aca="false">G987*H987</f>
        <v>2856</v>
      </c>
      <c r="K987" s="16" t="n">
        <f aca="false">(H987-I987)*G987</f>
        <v>5.99999999999987</v>
      </c>
      <c r="L987" s="17" t="n">
        <f aca="false">IF(I987=0,0,H987/I987-1)</f>
        <v>0.00210526315789461</v>
      </c>
      <c r="M987" s="14" t="n">
        <v>1</v>
      </c>
      <c r="N987" s="18" t="n">
        <v>0.008</v>
      </c>
    </row>
    <row r="988" customFormat="false" ht="15" hidden="false" customHeight="false" outlineLevel="0" collapsed="false">
      <c r="A988" s="12" t="s">
        <v>1047</v>
      </c>
      <c r="B988" s="13" t="n">
        <v>45956</v>
      </c>
      <c r="C988" s="12" t="str">
        <f aca="false">TEXT(B988,"yyyy-mm")</f>
        <v>2025-10</v>
      </c>
      <c r="D988" s="12" t="s">
        <v>58</v>
      </c>
      <c r="E988" s="12" t="s">
        <v>76</v>
      </c>
      <c r="F988" s="12" t="s">
        <v>77</v>
      </c>
      <c r="G988" s="14" t="n">
        <v>200</v>
      </c>
      <c r="H988" s="15" t="n">
        <v>26.5</v>
      </c>
      <c r="I988" s="15" t="n">
        <v>26.54</v>
      </c>
      <c r="J988" s="16" t="n">
        <f aca="false">G988*H988</f>
        <v>5300</v>
      </c>
      <c r="K988" s="16" t="n">
        <f aca="false">(H988-I988)*G988</f>
        <v>-7.99999999999983</v>
      </c>
      <c r="L988" s="17" t="n">
        <f aca="false">IF(I988=0,0,H988/I988-1)</f>
        <v>-0.00150715900527498</v>
      </c>
      <c r="M988" s="14" t="n">
        <v>1</v>
      </c>
      <c r="N988" s="18" t="n">
        <v>0.024</v>
      </c>
    </row>
    <row r="989" customFormat="false" ht="15" hidden="false" customHeight="false" outlineLevel="0" collapsed="false">
      <c r="A989" s="12" t="s">
        <v>1048</v>
      </c>
      <c r="B989" s="13" t="n">
        <v>45956</v>
      </c>
      <c r="C989" s="12" t="str">
        <f aca="false">TEXT(B989,"yyyy-mm")</f>
        <v>2025-10</v>
      </c>
      <c r="D989" s="12" t="s">
        <v>58</v>
      </c>
      <c r="E989" s="12" t="s">
        <v>76</v>
      </c>
      <c r="F989" s="12" t="s">
        <v>77</v>
      </c>
      <c r="G989" s="14" t="n">
        <v>1200</v>
      </c>
      <c r="H989" s="15" t="n">
        <v>26.87</v>
      </c>
      <c r="I989" s="15" t="n">
        <v>27.05</v>
      </c>
      <c r="J989" s="16" t="n">
        <f aca="false">G989*H989</f>
        <v>32244</v>
      </c>
      <c r="K989" s="16" t="n">
        <f aca="false">(H989-I989)*G989</f>
        <v>-216</v>
      </c>
      <c r="L989" s="17" t="n">
        <f aca="false">IF(I989=0,0,H989/I989-1)</f>
        <v>-0.00665434380776342</v>
      </c>
      <c r="M989" s="14" t="n">
        <v>1</v>
      </c>
      <c r="N989" s="18" t="n">
        <v>0.031</v>
      </c>
    </row>
    <row r="990" customFormat="false" ht="15" hidden="false" customHeight="false" outlineLevel="0" collapsed="false">
      <c r="A990" s="12" t="s">
        <v>1049</v>
      </c>
      <c r="B990" s="13" t="n">
        <v>45956</v>
      </c>
      <c r="C990" s="12" t="str">
        <f aca="false">TEXT(B990,"yyyy-mm")</f>
        <v>2025-10</v>
      </c>
      <c r="D990" s="12" t="s">
        <v>35</v>
      </c>
      <c r="E990" s="12" t="s">
        <v>43</v>
      </c>
      <c r="F990" s="12" t="s">
        <v>44</v>
      </c>
      <c r="G990" s="14" t="n">
        <v>4000</v>
      </c>
      <c r="H990" s="15" t="n">
        <v>16.8</v>
      </c>
      <c r="I990" s="15" t="n">
        <v>15.85</v>
      </c>
      <c r="J990" s="16" t="n">
        <f aca="false">G990*H990</f>
        <v>67200</v>
      </c>
      <c r="K990" s="16" t="n">
        <f aca="false">(H990-I990)*G990</f>
        <v>3800</v>
      </c>
      <c r="L990" s="17" t="n">
        <f aca="false">IF(I990=0,0,H990/I990-1)</f>
        <v>0.0599369085173502</v>
      </c>
      <c r="M990" s="14" t="n">
        <v>1</v>
      </c>
      <c r="N990" s="18" t="n">
        <v>0.02</v>
      </c>
    </row>
    <row r="991" customFormat="false" ht="15" hidden="false" customHeight="false" outlineLevel="0" collapsed="false">
      <c r="A991" s="12" t="s">
        <v>1050</v>
      </c>
      <c r="B991" s="13" t="n">
        <v>45956</v>
      </c>
      <c r="C991" s="12" t="str">
        <f aca="false">TEXT(B991,"yyyy-mm")</f>
        <v>2025-10</v>
      </c>
      <c r="D991" s="12" t="s">
        <v>35</v>
      </c>
      <c r="E991" s="12" t="s">
        <v>43</v>
      </c>
      <c r="F991" s="12" t="s">
        <v>44</v>
      </c>
      <c r="G991" s="14" t="n">
        <v>4000</v>
      </c>
      <c r="H991" s="15" t="n">
        <v>16.92</v>
      </c>
      <c r="I991" s="15" t="n">
        <v>16.38</v>
      </c>
      <c r="J991" s="16" t="n">
        <f aca="false">G991*H991</f>
        <v>67680</v>
      </c>
      <c r="K991" s="16" t="n">
        <f aca="false">(H991-I991)*G991</f>
        <v>2160.00000000001</v>
      </c>
      <c r="L991" s="17" t="n">
        <f aca="false">IF(I991=0,0,H991/I991-1)</f>
        <v>0.0329670329670331</v>
      </c>
      <c r="M991" s="14" t="n">
        <v>1</v>
      </c>
      <c r="N991" s="18" t="n">
        <v>0.008</v>
      </c>
    </row>
    <row r="992" customFormat="false" ht="15" hidden="false" customHeight="false" outlineLevel="0" collapsed="false">
      <c r="A992" s="12" t="s">
        <v>1051</v>
      </c>
      <c r="B992" s="13" t="n">
        <v>45957</v>
      </c>
      <c r="C992" s="12" t="str">
        <f aca="false">TEXT(B992,"yyyy-mm")</f>
        <v>2025-10</v>
      </c>
      <c r="D992" s="12" t="s">
        <v>75</v>
      </c>
      <c r="E992" s="12" t="s">
        <v>49</v>
      </c>
      <c r="F992" s="12" t="s">
        <v>50</v>
      </c>
      <c r="G992" s="14" t="n">
        <v>600</v>
      </c>
      <c r="H992" s="15" t="n">
        <v>22.74</v>
      </c>
      <c r="I992" s="15" t="n">
        <v>22.43</v>
      </c>
      <c r="J992" s="16" t="n">
        <f aca="false">G992*H992</f>
        <v>13644</v>
      </c>
      <c r="K992" s="16" t="n">
        <f aca="false">(H992-I992)*G992</f>
        <v>185.999999999999</v>
      </c>
      <c r="L992" s="17" t="n">
        <f aca="false">IF(I992=0,0,H992/I992-1)</f>
        <v>0.0138207757467677</v>
      </c>
      <c r="M992" s="14" t="n">
        <v>1</v>
      </c>
      <c r="N992" s="18" t="n">
        <v>0.018</v>
      </c>
    </row>
    <row r="993" customFormat="false" ht="15" hidden="false" customHeight="false" outlineLevel="0" collapsed="false">
      <c r="A993" s="12" t="s">
        <v>1052</v>
      </c>
      <c r="B993" s="13" t="n">
        <v>45957</v>
      </c>
      <c r="C993" s="12" t="str">
        <f aca="false">TEXT(B993,"yyyy-mm")</f>
        <v>2025-10</v>
      </c>
      <c r="D993" s="12" t="s">
        <v>75</v>
      </c>
      <c r="E993" s="12" t="s">
        <v>40</v>
      </c>
      <c r="F993" s="12" t="s">
        <v>41</v>
      </c>
      <c r="G993" s="14" t="n">
        <v>200</v>
      </c>
      <c r="H993" s="15" t="n">
        <v>23</v>
      </c>
      <c r="I993" s="15" t="n">
        <v>22.21</v>
      </c>
      <c r="J993" s="16" t="n">
        <f aca="false">G993*H993</f>
        <v>4600</v>
      </c>
      <c r="K993" s="16" t="n">
        <f aca="false">(H993-I993)*G993</f>
        <v>158</v>
      </c>
      <c r="L993" s="17" t="n">
        <f aca="false">IF(I993=0,0,H993/I993-1)</f>
        <v>0.0355695632597928</v>
      </c>
      <c r="M993" s="14" t="n">
        <v>1</v>
      </c>
      <c r="N993" s="18" t="n">
        <v>0.025</v>
      </c>
    </row>
    <row r="994" customFormat="false" ht="15" hidden="false" customHeight="false" outlineLevel="0" collapsed="false">
      <c r="A994" s="12" t="s">
        <v>1053</v>
      </c>
      <c r="B994" s="13" t="n">
        <v>45957</v>
      </c>
      <c r="C994" s="12" t="str">
        <f aca="false">TEXT(B994,"yyyy-mm")</f>
        <v>2025-10</v>
      </c>
      <c r="D994" s="12" t="s">
        <v>80</v>
      </c>
      <c r="E994" s="12" t="s">
        <v>92</v>
      </c>
      <c r="F994" s="12" t="s">
        <v>93</v>
      </c>
      <c r="G994" s="14" t="n">
        <v>2000</v>
      </c>
      <c r="H994" s="15" t="n">
        <v>19.9</v>
      </c>
      <c r="I994" s="15" t="n">
        <v>21.65</v>
      </c>
      <c r="J994" s="16" t="n">
        <f aca="false">G994*H994</f>
        <v>39800</v>
      </c>
      <c r="K994" s="16" t="n">
        <f aca="false">(H994-I994)*G994</f>
        <v>-3500</v>
      </c>
      <c r="L994" s="17" t="n">
        <f aca="false">IF(I994=0,0,H994/I994-1)</f>
        <v>-0.0808314087759815</v>
      </c>
      <c r="M994" s="14" t="n">
        <v>1</v>
      </c>
      <c r="N994" s="18" t="n">
        <v>0.046</v>
      </c>
    </row>
    <row r="995" customFormat="false" ht="15" hidden="false" customHeight="false" outlineLevel="0" collapsed="false">
      <c r="A995" s="12" t="s">
        <v>1054</v>
      </c>
      <c r="B995" s="13" t="n">
        <v>45957</v>
      </c>
      <c r="C995" s="12" t="str">
        <f aca="false">TEXT(B995,"yyyy-mm")</f>
        <v>2025-10</v>
      </c>
      <c r="D995" s="12" t="s">
        <v>75</v>
      </c>
      <c r="E995" s="12" t="s">
        <v>40</v>
      </c>
      <c r="F995" s="12" t="s">
        <v>41</v>
      </c>
      <c r="G995" s="14" t="n">
        <v>1600</v>
      </c>
      <c r="H995" s="15" t="n">
        <v>22.45</v>
      </c>
      <c r="I995" s="15" t="n">
        <v>22.4</v>
      </c>
      <c r="J995" s="16" t="n">
        <f aca="false">G995*H995</f>
        <v>35920</v>
      </c>
      <c r="K995" s="16" t="n">
        <f aca="false">(H995-I995)*G995</f>
        <v>80.0000000000011</v>
      </c>
      <c r="L995" s="17" t="n">
        <f aca="false">IF(I995=0,0,H995/I995-1)</f>
        <v>0.00223214285714279</v>
      </c>
      <c r="M995" s="14" t="n">
        <v>1</v>
      </c>
      <c r="N995" s="18" t="n">
        <v>0.022</v>
      </c>
    </row>
    <row r="996" customFormat="false" ht="15" hidden="false" customHeight="false" outlineLevel="0" collapsed="false">
      <c r="A996" s="12" t="s">
        <v>1055</v>
      </c>
      <c r="B996" s="13" t="n">
        <v>45958</v>
      </c>
      <c r="C996" s="12" t="str">
        <f aca="false">TEXT(B996,"yyyy-mm")</f>
        <v>2025-10</v>
      </c>
      <c r="D996" s="12" t="s">
        <v>35</v>
      </c>
      <c r="E996" s="12" t="s">
        <v>43</v>
      </c>
      <c r="F996" s="12" t="s">
        <v>44</v>
      </c>
      <c r="G996" s="14" t="n">
        <v>800</v>
      </c>
      <c r="H996" s="15" t="n">
        <v>16.55</v>
      </c>
      <c r="I996" s="15" t="n">
        <v>16.18</v>
      </c>
      <c r="J996" s="16" t="n">
        <f aca="false">G996*H996</f>
        <v>13240</v>
      </c>
      <c r="K996" s="16" t="n">
        <f aca="false">(H996-I996)*G996</f>
        <v>296.000000000001</v>
      </c>
      <c r="L996" s="17" t="n">
        <f aca="false">IF(I996=0,0,H996/I996-1)</f>
        <v>0.0228677379480842</v>
      </c>
      <c r="M996" s="14" t="n">
        <v>1</v>
      </c>
      <c r="N996" s="18" t="n">
        <v>0.013</v>
      </c>
    </row>
    <row r="997" customFormat="false" ht="15" hidden="false" customHeight="false" outlineLevel="0" collapsed="false">
      <c r="A997" s="12" t="s">
        <v>1056</v>
      </c>
      <c r="B997" s="13" t="n">
        <v>45958</v>
      </c>
      <c r="C997" s="12" t="str">
        <f aca="false">TEXT(B997,"yyyy-mm")</f>
        <v>2025-10</v>
      </c>
      <c r="D997" s="12" t="s">
        <v>80</v>
      </c>
      <c r="E997" s="12" t="s">
        <v>81</v>
      </c>
      <c r="F997" s="12" t="s">
        <v>82</v>
      </c>
      <c r="G997" s="14" t="n">
        <v>2000</v>
      </c>
      <c r="H997" s="15" t="n">
        <v>20.49</v>
      </c>
      <c r="I997" s="15" t="n">
        <v>21.26</v>
      </c>
      <c r="J997" s="16" t="n">
        <f aca="false">G997*H997</f>
        <v>40980</v>
      </c>
      <c r="K997" s="16" t="n">
        <f aca="false">(H997-I997)*G997</f>
        <v>-1540.00000000001</v>
      </c>
      <c r="L997" s="17" t="n">
        <f aca="false">IF(I997=0,0,H997/I997-1)</f>
        <v>-0.0362182502351836</v>
      </c>
      <c r="M997" s="14" t="n">
        <v>1</v>
      </c>
      <c r="N997" s="18" t="n">
        <v>0.03</v>
      </c>
    </row>
    <row r="998" customFormat="false" ht="15" hidden="false" customHeight="false" outlineLevel="0" collapsed="false">
      <c r="A998" s="12" t="s">
        <v>1057</v>
      </c>
      <c r="B998" s="13" t="n">
        <v>45958</v>
      </c>
      <c r="C998" s="12" t="str">
        <f aca="false">TEXT(B998,"yyyy-mm")</f>
        <v>2025-10</v>
      </c>
      <c r="D998" s="12" t="s">
        <v>53</v>
      </c>
      <c r="E998" s="12" t="s">
        <v>54</v>
      </c>
      <c r="F998" s="12" t="s">
        <v>55</v>
      </c>
      <c r="G998" s="14" t="n">
        <v>2000</v>
      </c>
      <c r="H998" s="15" t="n">
        <v>15.18</v>
      </c>
      <c r="I998" s="15" t="n">
        <v>14.59</v>
      </c>
      <c r="J998" s="16" t="n">
        <f aca="false">G998*H998</f>
        <v>30360</v>
      </c>
      <c r="K998" s="16" t="n">
        <f aca="false">(H998-I998)*G998</f>
        <v>1180</v>
      </c>
      <c r="L998" s="17" t="n">
        <f aca="false">IF(I998=0,0,H998/I998-1)</f>
        <v>0.0404386566141193</v>
      </c>
      <c r="M998" s="14" t="n">
        <v>1</v>
      </c>
      <c r="N998" s="18" t="n">
        <v>0.013</v>
      </c>
    </row>
    <row r="999" customFormat="false" ht="15" hidden="false" customHeight="false" outlineLevel="0" collapsed="false">
      <c r="A999" s="12" t="s">
        <v>1058</v>
      </c>
      <c r="B999" s="13" t="n">
        <v>45959</v>
      </c>
      <c r="C999" s="12" t="str">
        <f aca="false">TEXT(B999,"yyyy-mm")</f>
        <v>2025-10</v>
      </c>
      <c r="D999" s="12" t="s">
        <v>80</v>
      </c>
      <c r="E999" s="12" t="s">
        <v>81</v>
      </c>
      <c r="F999" s="12" t="s">
        <v>82</v>
      </c>
      <c r="G999" s="14" t="n">
        <v>600</v>
      </c>
      <c r="H999" s="15" t="n">
        <v>21.48</v>
      </c>
      <c r="I999" s="15" t="n">
        <v>21.34</v>
      </c>
      <c r="J999" s="16" t="n">
        <f aca="false">G999*H999</f>
        <v>12888</v>
      </c>
      <c r="K999" s="16" t="n">
        <f aca="false">(H999-I999)*G999</f>
        <v>84.0000000000003</v>
      </c>
      <c r="L999" s="17" t="n">
        <f aca="false">IF(I999=0,0,H999/I999-1)</f>
        <v>0.00656044985941895</v>
      </c>
      <c r="M999" s="14" t="n">
        <v>1</v>
      </c>
      <c r="N999" s="18" t="n">
        <v>0.024</v>
      </c>
    </row>
    <row r="1000" customFormat="false" ht="15" hidden="false" customHeight="false" outlineLevel="0" collapsed="false">
      <c r="A1000" s="12" t="s">
        <v>1059</v>
      </c>
      <c r="B1000" s="13" t="n">
        <v>45960</v>
      </c>
      <c r="C1000" s="12" t="str">
        <f aca="false">TEXT(B1000,"yyyy-mm")</f>
        <v>2025-10</v>
      </c>
      <c r="D1000" s="12" t="s">
        <v>80</v>
      </c>
      <c r="E1000" s="12" t="s">
        <v>92</v>
      </c>
      <c r="F1000" s="12" t="s">
        <v>93</v>
      </c>
      <c r="G1000" s="14" t="n">
        <v>2000</v>
      </c>
      <c r="H1000" s="15" t="n">
        <v>19.9</v>
      </c>
      <c r="I1000" s="15" t="n">
        <v>20.76</v>
      </c>
      <c r="J1000" s="16" t="n">
        <f aca="false">G1000*H1000</f>
        <v>39800</v>
      </c>
      <c r="K1000" s="16" t="n">
        <f aca="false">(H1000-I1000)*G1000</f>
        <v>-1720.00000000001</v>
      </c>
      <c r="L1000" s="17" t="n">
        <f aca="false">IF(I1000=0,0,H1000/I1000-1)</f>
        <v>-0.0414258188824664</v>
      </c>
      <c r="M1000" s="14" t="n">
        <v>1</v>
      </c>
      <c r="N1000" s="18" t="n">
        <v>0.062</v>
      </c>
    </row>
    <row r="1001" customFormat="false" ht="15" hidden="false" customHeight="false" outlineLevel="0" collapsed="false">
      <c r="A1001" s="12" t="s">
        <v>1060</v>
      </c>
      <c r="B1001" s="13" t="n">
        <v>45961</v>
      </c>
      <c r="C1001" s="12" t="str">
        <f aca="false">TEXT(B1001,"yyyy-mm")</f>
        <v>2025-10</v>
      </c>
      <c r="D1001" s="12" t="s">
        <v>35</v>
      </c>
      <c r="E1001" s="12" t="s">
        <v>36</v>
      </c>
      <c r="F1001" s="12" t="s">
        <v>37</v>
      </c>
      <c r="G1001" s="14" t="n">
        <v>4000</v>
      </c>
      <c r="H1001" s="15" t="n">
        <v>16.04</v>
      </c>
      <c r="I1001" s="15" t="n">
        <v>16.23</v>
      </c>
      <c r="J1001" s="16" t="n">
        <f aca="false">G1001*H1001</f>
        <v>64160</v>
      </c>
      <c r="K1001" s="16" t="n">
        <f aca="false">(H1001-I1001)*G1001</f>
        <v>-760.000000000005</v>
      </c>
      <c r="L1001" s="17" t="n">
        <f aca="false">IF(I1001=0,0,H1001/I1001-1)</f>
        <v>-0.0117067159581024</v>
      </c>
      <c r="M1001" s="14" t="n">
        <v>1</v>
      </c>
      <c r="N1001" s="18" t="n">
        <v>0.012</v>
      </c>
    </row>
    <row r="1002" customFormat="false" ht="15" hidden="false" customHeight="false" outlineLevel="0" collapsed="false">
      <c r="A1002" s="12" t="s">
        <v>1061</v>
      </c>
      <c r="B1002" s="13" t="n">
        <v>45961</v>
      </c>
      <c r="C1002" s="12" t="str">
        <f aca="false">TEXT(B1002,"yyyy-mm")</f>
        <v>2025-10</v>
      </c>
      <c r="D1002" s="12" t="s">
        <v>35</v>
      </c>
      <c r="E1002" s="12" t="s">
        <v>36</v>
      </c>
      <c r="F1002" s="12" t="s">
        <v>37</v>
      </c>
      <c r="G1002" s="14" t="n">
        <v>800</v>
      </c>
      <c r="H1002" s="15" t="n">
        <v>15.88</v>
      </c>
      <c r="I1002" s="15" t="n">
        <v>15.73</v>
      </c>
      <c r="J1002" s="16" t="n">
        <f aca="false">G1002*H1002</f>
        <v>12704</v>
      </c>
      <c r="K1002" s="16" t="n">
        <f aca="false">(H1002-I1002)*G1002</f>
        <v>120</v>
      </c>
      <c r="L1002" s="17" t="n">
        <f aca="false">IF(I1002=0,0,H1002/I1002-1)</f>
        <v>0.00953591862682779</v>
      </c>
      <c r="M1002" s="14" t="n">
        <v>1</v>
      </c>
      <c r="N1002" s="18" t="n">
        <v>0.016</v>
      </c>
    </row>
    <row r="1003" customFormat="false" ht="15" hidden="false" customHeight="false" outlineLevel="0" collapsed="false">
      <c r="A1003" s="12" t="s">
        <v>1062</v>
      </c>
      <c r="B1003" s="13" t="n">
        <v>45962</v>
      </c>
      <c r="C1003" s="12" t="str">
        <f aca="false">TEXT(B1003,"yyyy-mm")</f>
        <v>2025-11</v>
      </c>
      <c r="D1003" s="12" t="s">
        <v>53</v>
      </c>
      <c r="E1003" s="12" t="s">
        <v>54</v>
      </c>
      <c r="F1003" s="12" t="s">
        <v>55</v>
      </c>
      <c r="G1003" s="14" t="n">
        <v>400</v>
      </c>
      <c r="H1003" s="15" t="n">
        <v>14.16</v>
      </c>
      <c r="I1003" s="15" t="n">
        <v>13.53</v>
      </c>
      <c r="J1003" s="16" t="n">
        <f aca="false">G1003*H1003</f>
        <v>5664</v>
      </c>
      <c r="K1003" s="16" t="n">
        <f aca="false">(H1003-I1003)*G1003</f>
        <v>252</v>
      </c>
      <c r="L1003" s="17" t="n">
        <f aca="false">IF(I1003=0,0,H1003/I1003-1)</f>
        <v>0.0465631929046564</v>
      </c>
      <c r="M1003" s="14" t="n">
        <v>0</v>
      </c>
      <c r="N1003" s="18" t="n">
        <v>0.019</v>
      </c>
    </row>
    <row r="1004" customFormat="false" ht="15" hidden="false" customHeight="false" outlineLevel="0" collapsed="false">
      <c r="A1004" s="12" t="s">
        <v>1063</v>
      </c>
      <c r="B1004" s="13" t="n">
        <v>45962</v>
      </c>
      <c r="C1004" s="12" t="str">
        <f aca="false">TEXT(B1004,"yyyy-mm")</f>
        <v>2025-11</v>
      </c>
      <c r="D1004" s="12" t="s">
        <v>80</v>
      </c>
      <c r="E1004" s="12" t="s">
        <v>92</v>
      </c>
      <c r="F1004" s="12" t="s">
        <v>93</v>
      </c>
      <c r="G1004" s="14" t="n">
        <v>800</v>
      </c>
      <c r="H1004" s="15" t="n">
        <v>18.75</v>
      </c>
      <c r="I1004" s="15" t="n">
        <v>20</v>
      </c>
      <c r="J1004" s="16" t="n">
        <f aca="false">G1004*H1004</f>
        <v>15000</v>
      </c>
      <c r="K1004" s="16" t="n">
        <f aca="false">(H1004-I1004)*G1004</f>
        <v>-1000</v>
      </c>
      <c r="L1004" s="17" t="n">
        <f aca="false">IF(I1004=0,0,H1004/I1004-1)</f>
        <v>-0.0625</v>
      </c>
      <c r="M1004" s="14" t="n">
        <v>0</v>
      </c>
      <c r="N1004" s="18" t="n">
        <v>0.021</v>
      </c>
    </row>
    <row r="1005" customFormat="false" ht="15" hidden="false" customHeight="false" outlineLevel="0" collapsed="false">
      <c r="A1005" s="12" t="s">
        <v>1064</v>
      </c>
      <c r="B1005" s="13" t="n">
        <v>45963</v>
      </c>
      <c r="C1005" s="12" t="str">
        <f aca="false">TEXT(B1005,"yyyy-mm")</f>
        <v>2025-11</v>
      </c>
      <c r="D1005" s="12" t="s">
        <v>39</v>
      </c>
      <c r="E1005" s="12" t="s">
        <v>40</v>
      </c>
      <c r="F1005" s="12" t="s">
        <v>41</v>
      </c>
      <c r="G1005" s="14" t="n">
        <v>1200</v>
      </c>
      <c r="H1005" s="15" t="n">
        <v>17.82</v>
      </c>
      <c r="I1005" s="15" t="n">
        <v>17.45</v>
      </c>
      <c r="J1005" s="16" t="n">
        <f aca="false">G1005*H1005</f>
        <v>21384</v>
      </c>
      <c r="K1005" s="16" t="n">
        <f aca="false">(H1005-I1005)*G1005</f>
        <v>444.000000000001</v>
      </c>
      <c r="L1005" s="17" t="n">
        <f aca="false">IF(I1005=0,0,H1005/I1005-1)</f>
        <v>0.0212034383954156</v>
      </c>
      <c r="M1005" s="14" t="n">
        <v>1</v>
      </c>
      <c r="N1005" s="18" t="n">
        <v>0.022</v>
      </c>
    </row>
    <row r="1006" customFormat="false" ht="15" hidden="false" customHeight="false" outlineLevel="0" collapsed="false">
      <c r="A1006" s="12" t="s">
        <v>1065</v>
      </c>
      <c r="B1006" s="13" t="n">
        <v>45963</v>
      </c>
      <c r="C1006" s="12" t="str">
        <f aca="false">TEXT(B1006,"yyyy-mm")</f>
        <v>2025-11</v>
      </c>
      <c r="D1006" s="12" t="s">
        <v>35</v>
      </c>
      <c r="E1006" s="12" t="s">
        <v>43</v>
      </c>
      <c r="F1006" s="12" t="s">
        <v>44</v>
      </c>
      <c r="G1006" s="14" t="n">
        <v>1200</v>
      </c>
      <c r="H1006" s="15" t="n">
        <v>15.87</v>
      </c>
      <c r="I1006" s="15" t="n">
        <v>15.87</v>
      </c>
      <c r="J1006" s="16" t="n">
        <f aca="false">G1006*H1006</f>
        <v>19044</v>
      </c>
      <c r="K1006" s="16" t="n">
        <f aca="false">(H1006-I1006)*G1006</f>
        <v>0</v>
      </c>
      <c r="L1006" s="17" t="n">
        <f aca="false">IF(I1006=0,0,H1006/I1006-1)</f>
        <v>0</v>
      </c>
      <c r="M1006" s="14" t="n">
        <v>1</v>
      </c>
      <c r="N1006" s="18" t="n">
        <v>0.008</v>
      </c>
    </row>
    <row r="1007" customFormat="false" ht="15" hidden="false" customHeight="false" outlineLevel="0" collapsed="false">
      <c r="A1007" s="12" t="s">
        <v>1066</v>
      </c>
      <c r="B1007" s="13" t="n">
        <v>45964</v>
      </c>
      <c r="C1007" s="12" t="str">
        <f aca="false">TEXT(B1007,"yyyy-mm")</f>
        <v>2025-11</v>
      </c>
      <c r="D1007" s="12" t="s">
        <v>80</v>
      </c>
      <c r="E1007" s="12" t="s">
        <v>81</v>
      </c>
      <c r="F1007" s="12" t="s">
        <v>82</v>
      </c>
      <c r="G1007" s="14" t="n">
        <v>2000</v>
      </c>
      <c r="H1007" s="15" t="n">
        <v>19.33</v>
      </c>
      <c r="I1007" s="15" t="n">
        <v>20.12</v>
      </c>
      <c r="J1007" s="16" t="n">
        <f aca="false">G1007*H1007</f>
        <v>38660</v>
      </c>
      <c r="K1007" s="16" t="n">
        <f aca="false">(H1007-I1007)*G1007</f>
        <v>-1580.00000000001</v>
      </c>
      <c r="L1007" s="17" t="n">
        <f aca="false">IF(I1007=0,0,H1007/I1007-1)</f>
        <v>-0.0392644135188868</v>
      </c>
      <c r="M1007" s="14" t="n">
        <v>1</v>
      </c>
      <c r="N1007" s="18" t="n">
        <v>0.023</v>
      </c>
    </row>
    <row r="1008" customFormat="false" ht="15" hidden="false" customHeight="false" outlineLevel="0" collapsed="false">
      <c r="A1008" s="12" t="s">
        <v>1067</v>
      </c>
      <c r="B1008" s="13" t="n">
        <v>45964</v>
      </c>
      <c r="C1008" s="12" t="str">
        <f aca="false">TEXT(B1008,"yyyy-mm")</f>
        <v>2025-11</v>
      </c>
      <c r="D1008" s="12" t="s">
        <v>75</v>
      </c>
      <c r="E1008" s="12" t="s">
        <v>40</v>
      </c>
      <c r="F1008" s="12" t="s">
        <v>41</v>
      </c>
      <c r="G1008" s="14" t="n">
        <v>400</v>
      </c>
      <c r="H1008" s="15" t="n">
        <v>22.13</v>
      </c>
      <c r="I1008" s="15" t="n">
        <v>21.18</v>
      </c>
      <c r="J1008" s="16" t="n">
        <f aca="false">G1008*H1008</f>
        <v>8852</v>
      </c>
      <c r="K1008" s="16" t="n">
        <f aca="false">(H1008-I1008)*G1008</f>
        <v>380</v>
      </c>
      <c r="L1008" s="17" t="n">
        <f aca="false">IF(I1008=0,0,H1008/I1008-1)</f>
        <v>0.0448536355051936</v>
      </c>
      <c r="M1008" s="14" t="n">
        <v>1</v>
      </c>
      <c r="N1008" s="18" t="n">
        <v>0.025</v>
      </c>
    </row>
    <row r="1009" customFormat="false" ht="15" hidden="false" customHeight="false" outlineLevel="0" collapsed="false">
      <c r="A1009" s="12" t="s">
        <v>1068</v>
      </c>
      <c r="B1009" s="13" t="n">
        <v>45964</v>
      </c>
      <c r="C1009" s="12" t="str">
        <f aca="false">TEXT(B1009,"yyyy-mm")</f>
        <v>2025-11</v>
      </c>
      <c r="D1009" s="12" t="s">
        <v>80</v>
      </c>
      <c r="E1009" s="12" t="s">
        <v>81</v>
      </c>
      <c r="F1009" s="12" t="s">
        <v>82</v>
      </c>
      <c r="G1009" s="14" t="n">
        <v>800</v>
      </c>
      <c r="H1009" s="15" t="n">
        <v>19.18</v>
      </c>
      <c r="I1009" s="15" t="n">
        <v>20.24</v>
      </c>
      <c r="J1009" s="16" t="n">
        <f aca="false">G1009*H1009</f>
        <v>15344</v>
      </c>
      <c r="K1009" s="16" t="n">
        <f aca="false">(H1009-I1009)*G1009</f>
        <v>-847.999999999999</v>
      </c>
      <c r="L1009" s="17" t="n">
        <f aca="false">IF(I1009=0,0,H1009/I1009-1)</f>
        <v>-0.0523715415019762</v>
      </c>
      <c r="M1009" s="14" t="n">
        <v>1</v>
      </c>
      <c r="N1009" s="18" t="n">
        <v>0.043</v>
      </c>
    </row>
    <row r="1010" customFormat="false" ht="15" hidden="false" customHeight="false" outlineLevel="0" collapsed="false">
      <c r="A1010" s="12" t="s">
        <v>1069</v>
      </c>
      <c r="B1010" s="13" t="n">
        <v>45965</v>
      </c>
      <c r="C1010" s="12" t="str">
        <f aca="false">TEXT(B1010,"yyyy-mm")</f>
        <v>2025-11</v>
      </c>
      <c r="D1010" s="12" t="s">
        <v>61</v>
      </c>
      <c r="E1010" s="12" t="s">
        <v>43</v>
      </c>
      <c r="F1010" s="12" t="s">
        <v>44</v>
      </c>
      <c r="G1010" s="14" t="n">
        <v>600</v>
      </c>
      <c r="H1010" s="15" t="n">
        <v>13.38</v>
      </c>
      <c r="I1010" s="15" t="n">
        <v>13.39</v>
      </c>
      <c r="J1010" s="16" t="n">
        <f aca="false">G1010*H1010</f>
        <v>8028</v>
      </c>
      <c r="K1010" s="16" t="n">
        <f aca="false">(H1010-I1010)*G1010</f>
        <v>-5.99999999999987</v>
      </c>
      <c r="L1010" s="17" t="n">
        <f aca="false">IF(I1010=0,0,H1010/I1010-1)</f>
        <v>-0.000746825989544453</v>
      </c>
      <c r="M1010" s="14" t="n">
        <v>1</v>
      </c>
      <c r="N1010" s="18" t="n">
        <v>0.005</v>
      </c>
    </row>
    <row r="1011" customFormat="false" ht="15" hidden="false" customHeight="false" outlineLevel="0" collapsed="false">
      <c r="A1011" s="12" t="s">
        <v>1070</v>
      </c>
      <c r="B1011" s="13" t="n">
        <v>45965</v>
      </c>
      <c r="C1011" s="12" t="str">
        <f aca="false">TEXT(B1011,"yyyy-mm")</f>
        <v>2025-11</v>
      </c>
      <c r="D1011" s="12" t="s">
        <v>53</v>
      </c>
      <c r="E1011" s="12" t="s">
        <v>54</v>
      </c>
      <c r="F1011" s="12" t="s">
        <v>55</v>
      </c>
      <c r="G1011" s="14" t="n">
        <v>2000</v>
      </c>
      <c r="H1011" s="15" t="n">
        <v>13.49</v>
      </c>
      <c r="I1011" s="15" t="n">
        <v>13.13</v>
      </c>
      <c r="J1011" s="16" t="n">
        <f aca="false">G1011*H1011</f>
        <v>26980</v>
      </c>
      <c r="K1011" s="16" t="n">
        <f aca="false">(H1011-I1011)*G1011</f>
        <v>719.999999999999</v>
      </c>
      <c r="L1011" s="17" t="n">
        <f aca="false">IF(I1011=0,0,H1011/I1011-1)</f>
        <v>0.0274181264280273</v>
      </c>
      <c r="M1011" s="14" t="n">
        <v>1</v>
      </c>
      <c r="N1011" s="18" t="n">
        <v>0.007</v>
      </c>
    </row>
    <row r="1012" customFormat="false" ht="15" hidden="false" customHeight="false" outlineLevel="0" collapsed="false">
      <c r="A1012" s="12" t="s">
        <v>1071</v>
      </c>
      <c r="B1012" s="13" t="n">
        <v>45965</v>
      </c>
      <c r="C1012" s="12" t="str">
        <f aca="false">TEXT(B1012,"yyyy-mm")</f>
        <v>2025-11</v>
      </c>
      <c r="D1012" s="12" t="s">
        <v>39</v>
      </c>
      <c r="E1012" s="12" t="s">
        <v>46</v>
      </c>
      <c r="F1012" s="12" t="s">
        <v>47</v>
      </c>
      <c r="G1012" s="14" t="n">
        <v>2000</v>
      </c>
      <c r="H1012" s="15" t="n">
        <v>17.02</v>
      </c>
      <c r="I1012" s="15" t="n">
        <v>16.61</v>
      </c>
      <c r="J1012" s="16" t="n">
        <f aca="false">G1012*H1012</f>
        <v>34040</v>
      </c>
      <c r="K1012" s="16" t="n">
        <f aca="false">(H1012-I1012)*G1012</f>
        <v>820</v>
      </c>
      <c r="L1012" s="17" t="n">
        <f aca="false">IF(I1012=0,0,H1012/I1012-1)</f>
        <v>0.024683925346177</v>
      </c>
      <c r="M1012" s="14" t="n">
        <v>1</v>
      </c>
      <c r="N1012" s="18" t="n">
        <v>0.007</v>
      </c>
    </row>
    <row r="1013" customFormat="false" ht="15" hidden="false" customHeight="false" outlineLevel="0" collapsed="false">
      <c r="A1013" s="12" t="s">
        <v>1072</v>
      </c>
      <c r="B1013" s="13" t="n">
        <v>45966</v>
      </c>
      <c r="C1013" s="12" t="str">
        <f aca="false">TEXT(B1013,"yyyy-mm")</f>
        <v>2025-11</v>
      </c>
      <c r="D1013" s="12" t="s">
        <v>58</v>
      </c>
      <c r="E1013" s="12" t="s">
        <v>76</v>
      </c>
      <c r="F1013" s="12" t="s">
        <v>77</v>
      </c>
      <c r="G1013" s="14" t="n">
        <v>800</v>
      </c>
      <c r="H1013" s="15" t="n">
        <v>25.54</v>
      </c>
      <c r="I1013" s="15" t="n">
        <v>25.01</v>
      </c>
      <c r="J1013" s="16" t="n">
        <f aca="false">G1013*H1013</f>
        <v>20432</v>
      </c>
      <c r="K1013" s="16" t="n">
        <f aca="false">(H1013-I1013)*G1013</f>
        <v>423.999999999998</v>
      </c>
      <c r="L1013" s="17" t="n">
        <f aca="false">IF(I1013=0,0,H1013/I1013-1)</f>
        <v>0.0211915233906437</v>
      </c>
      <c r="M1013" s="14" t="n">
        <v>1</v>
      </c>
      <c r="N1013" s="18" t="n">
        <v>0.025</v>
      </c>
    </row>
    <row r="1014" customFormat="false" ht="15" hidden="false" customHeight="false" outlineLevel="0" collapsed="false">
      <c r="A1014" s="12" t="s">
        <v>1073</v>
      </c>
      <c r="B1014" s="13" t="n">
        <v>45966</v>
      </c>
      <c r="C1014" s="12" t="str">
        <f aca="false">TEXT(B1014,"yyyy-mm")</f>
        <v>2025-11</v>
      </c>
      <c r="D1014" s="12" t="s">
        <v>80</v>
      </c>
      <c r="E1014" s="12" t="s">
        <v>92</v>
      </c>
      <c r="F1014" s="12" t="s">
        <v>93</v>
      </c>
      <c r="G1014" s="14" t="n">
        <v>400</v>
      </c>
      <c r="H1014" s="15" t="n">
        <v>19.39</v>
      </c>
      <c r="I1014" s="15" t="n">
        <v>20.65</v>
      </c>
      <c r="J1014" s="16" t="n">
        <f aca="false">G1014*H1014</f>
        <v>7756</v>
      </c>
      <c r="K1014" s="16" t="n">
        <f aca="false">(H1014-I1014)*G1014</f>
        <v>-503.999999999999</v>
      </c>
      <c r="L1014" s="17" t="n">
        <f aca="false">IF(I1014=0,0,H1014/I1014-1)</f>
        <v>-0.0610169491525423</v>
      </c>
      <c r="M1014" s="14" t="n">
        <v>1</v>
      </c>
      <c r="N1014" s="18" t="n">
        <v>0.037</v>
      </c>
    </row>
    <row r="1015" customFormat="false" ht="15" hidden="false" customHeight="false" outlineLevel="0" collapsed="false">
      <c r="A1015" s="12" t="s">
        <v>1074</v>
      </c>
      <c r="B1015" s="13" t="n">
        <v>45966</v>
      </c>
      <c r="C1015" s="12" t="str">
        <f aca="false">TEXT(B1015,"yyyy-mm")</f>
        <v>2025-11</v>
      </c>
      <c r="D1015" s="12" t="s">
        <v>80</v>
      </c>
      <c r="E1015" s="12" t="s">
        <v>81</v>
      </c>
      <c r="F1015" s="12" t="s">
        <v>82</v>
      </c>
      <c r="G1015" s="14" t="n">
        <v>200</v>
      </c>
      <c r="H1015" s="15" t="n">
        <v>19.97</v>
      </c>
      <c r="I1015" s="15" t="n">
        <v>20.8</v>
      </c>
      <c r="J1015" s="16" t="n">
        <f aca="false">G1015*H1015</f>
        <v>3994</v>
      </c>
      <c r="K1015" s="16" t="n">
        <f aca="false">(H1015-I1015)*G1015</f>
        <v>-166</v>
      </c>
      <c r="L1015" s="17" t="n">
        <f aca="false">IF(I1015=0,0,H1015/I1015-1)</f>
        <v>-0.0399038461538462</v>
      </c>
      <c r="M1015" s="14" t="n">
        <v>1</v>
      </c>
      <c r="N1015" s="18" t="n">
        <v>0.049</v>
      </c>
    </row>
    <row r="1016" customFormat="false" ht="15" hidden="false" customHeight="false" outlineLevel="0" collapsed="false">
      <c r="A1016" s="12" t="s">
        <v>1075</v>
      </c>
      <c r="B1016" s="13" t="n">
        <v>45967</v>
      </c>
      <c r="C1016" s="12" t="str">
        <f aca="false">TEXT(B1016,"yyyy-mm")</f>
        <v>2025-11</v>
      </c>
      <c r="D1016" s="12" t="s">
        <v>39</v>
      </c>
      <c r="E1016" s="12" t="s">
        <v>46</v>
      </c>
      <c r="F1016" s="12" t="s">
        <v>47</v>
      </c>
      <c r="G1016" s="14" t="n">
        <v>1200</v>
      </c>
      <c r="H1016" s="15" t="n">
        <v>17.64</v>
      </c>
      <c r="I1016" s="15" t="n">
        <v>16.89</v>
      </c>
      <c r="J1016" s="16" t="n">
        <f aca="false">G1016*H1016</f>
        <v>21168</v>
      </c>
      <c r="K1016" s="16" t="n">
        <f aca="false">(H1016-I1016)*G1016</f>
        <v>900</v>
      </c>
      <c r="L1016" s="17" t="n">
        <f aca="false">IF(I1016=0,0,H1016/I1016-1)</f>
        <v>0.044404973357016</v>
      </c>
      <c r="M1016" s="14" t="n">
        <v>0</v>
      </c>
      <c r="N1016" s="18" t="n">
        <v>0.011</v>
      </c>
    </row>
    <row r="1017" customFormat="false" ht="15" hidden="false" customHeight="false" outlineLevel="0" collapsed="false">
      <c r="A1017" s="12" t="s">
        <v>1076</v>
      </c>
      <c r="B1017" s="13" t="n">
        <v>45967</v>
      </c>
      <c r="C1017" s="12" t="str">
        <f aca="false">TEXT(B1017,"yyyy-mm")</f>
        <v>2025-11</v>
      </c>
      <c r="D1017" s="12" t="s">
        <v>61</v>
      </c>
      <c r="E1017" s="12" t="s">
        <v>43</v>
      </c>
      <c r="F1017" s="12" t="s">
        <v>44</v>
      </c>
      <c r="G1017" s="14" t="n">
        <v>2000</v>
      </c>
      <c r="H1017" s="15" t="n">
        <v>13.97</v>
      </c>
      <c r="I1017" s="15" t="n">
        <v>13.57</v>
      </c>
      <c r="J1017" s="16" t="n">
        <f aca="false">G1017*H1017</f>
        <v>27940</v>
      </c>
      <c r="K1017" s="16" t="n">
        <f aca="false">(H1017-I1017)*G1017</f>
        <v>800.000000000001</v>
      </c>
      <c r="L1017" s="17" t="n">
        <f aca="false">IF(I1017=0,0,H1017/I1017-1)</f>
        <v>0.0294767870302137</v>
      </c>
      <c r="M1017" s="14" t="n">
        <v>1</v>
      </c>
      <c r="N1017" s="18" t="n">
        <v>0.015</v>
      </c>
    </row>
    <row r="1018" customFormat="false" ht="15" hidden="false" customHeight="false" outlineLevel="0" collapsed="false">
      <c r="A1018" s="12" t="s">
        <v>1077</v>
      </c>
      <c r="B1018" s="13" t="n">
        <v>45968</v>
      </c>
      <c r="C1018" s="12" t="str">
        <f aca="false">TEXT(B1018,"yyyy-mm")</f>
        <v>2025-11</v>
      </c>
      <c r="D1018" s="12" t="s">
        <v>35</v>
      </c>
      <c r="E1018" s="12" t="s">
        <v>36</v>
      </c>
      <c r="F1018" s="12" t="s">
        <v>37</v>
      </c>
      <c r="G1018" s="14" t="n">
        <v>400</v>
      </c>
      <c r="H1018" s="15" t="n">
        <v>15.39</v>
      </c>
      <c r="I1018" s="15" t="n">
        <v>15.72</v>
      </c>
      <c r="J1018" s="16" t="n">
        <f aca="false">G1018*H1018</f>
        <v>6156</v>
      </c>
      <c r="K1018" s="16" t="n">
        <f aca="false">(H1018-I1018)*G1018</f>
        <v>-132</v>
      </c>
      <c r="L1018" s="17" t="n">
        <f aca="false">IF(I1018=0,0,H1018/I1018-1)</f>
        <v>-0.0209923664122137</v>
      </c>
      <c r="M1018" s="14" t="n">
        <v>1</v>
      </c>
      <c r="N1018" s="18" t="n">
        <v>0.009</v>
      </c>
    </row>
    <row r="1019" customFormat="false" ht="15" hidden="false" customHeight="false" outlineLevel="0" collapsed="false">
      <c r="A1019" s="12" t="s">
        <v>1078</v>
      </c>
      <c r="B1019" s="13" t="n">
        <v>45968</v>
      </c>
      <c r="C1019" s="12" t="str">
        <f aca="false">TEXT(B1019,"yyyy-mm")</f>
        <v>2025-11</v>
      </c>
      <c r="D1019" s="12" t="s">
        <v>39</v>
      </c>
      <c r="E1019" s="12" t="s">
        <v>49</v>
      </c>
      <c r="F1019" s="12" t="s">
        <v>50</v>
      </c>
      <c r="G1019" s="14" t="n">
        <v>600</v>
      </c>
      <c r="H1019" s="15" t="n">
        <v>16.86</v>
      </c>
      <c r="I1019" s="15" t="n">
        <v>16.73</v>
      </c>
      <c r="J1019" s="16" t="n">
        <f aca="false">G1019*H1019</f>
        <v>10116</v>
      </c>
      <c r="K1019" s="16" t="n">
        <f aca="false">(H1019-I1019)*G1019</f>
        <v>77.9999999999994</v>
      </c>
      <c r="L1019" s="17" t="n">
        <f aca="false">IF(I1019=0,0,H1019/I1019-1)</f>
        <v>0.00777047220561866</v>
      </c>
      <c r="M1019" s="14" t="n">
        <v>1</v>
      </c>
      <c r="N1019" s="18" t="n">
        <v>0.023</v>
      </c>
    </row>
    <row r="1020" customFormat="false" ht="15" hidden="false" customHeight="false" outlineLevel="0" collapsed="false">
      <c r="A1020" s="12" t="s">
        <v>1079</v>
      </c>
      <c r="B1020" s="13" t="n">
        <v>45968</v>
      </c>
      <c r="C1020" s="12" t="str">
        <f aca="false">TEXT(B1020,"yyyy-mm")</f>
        <v>2025-11</v>
      </c>
      <c r="D1020" s="12" t="s">
        <v>35</v>
      </c>
      <c r="E1020" s="12" t="s">
        <v>36</v>
      </c>
      <c r="F1020" s="12" t="s">
        <v>37</v>
      </c>
      <c r="G1020" s="14" t="n">
        <v>2000</v>
      </c>
      <c r="H1020" s="15" t="n">
        <v>16.07</v>
      </c>
      <c r="I1020" s="15" t="n">
        <v>16.22</v>
      </c>
      <c r="J1020" s="16" t="n">
        <f aca="false">G1020*H1020</f>
        <v>32140</v>
      </c>
      <c r="K1020" s="16" t="n">
        <f aca="false">(H1020-I1020)*G1020</f>
        <v>-299.999999999997</v>
      </c>
      <c r="L1020" s="17" t="n">
        <f aca="false">IF(I1020=0,0,H1020/I1020-1)</f>
        <v>-0.00924784217016017</v>
      </c>
      <c r="M1020" s="14" t="n">
        <v>1</v>
      </c>
      <c r="N1020" s="18" t="n">
        <v>0.018</v>
      </c>
    </row>
    <row r="1021" customFormat="false" ht="15" hidden="false" customHeight="false" outlineLevel="0" collapsed="false">
      <c r="A1021" s="12" t="s">
        <v>1080</v>
      </c>
      <c r="B1021" s="13" t="n">
        <v>45968</v>
      </c>
      <c r="C1021" s="12" t="str">
        <f aca="false">TEXT(B1021,"yyyy-mm")</f>
        <v>2025-11</v>
      </c>
      <c r="D1021" s="12" t="s">
        <v>80</v>
      </c>
      <c r="E1021" s="12" t="s">
        <v>76</v>
      </c>
      <c r="F1021" s="12" t="s">
        <v>77</v>
      </c>
      <c r="G1021" s="14" t="n">
        <v>2000</v>
      </c>
      <c r="H1021" s="15" t="n">
        <v>20.12</v>
      </c>
      <c r="I1021" s="15" t="n">
        <v>19.98</v>
      </c>
      <c r="J1021" s="16" t="n">
        <f aca="false">G1021*H1021</f>
        <v>40240</v>
      </c>
      <c r="K1021" s="16" t="n">
        <f aca="false">(H1021-I1021)*G1021</f>
        <v>280.000000000001</v>
      </c>
      <c r="L1021" s="17" t="n">
        <f aca="false">IF(I1021=0,0,H1021/I1021-1)</f>
        <v>0.00700700700700696</v>
      </c>
      <c r="M1021" s="14" t="n">
        <v>1</v>
      </c>
      <c r="N1021" s="18" t="n">
        <v>0.014</v>
      </c>
    </row>
    <row r="1022" customFormat="false" ht="15" hidden="false" customHeight="false" outlineLevel="0" collapsed="false">
      <c r="A1022" s="12" t="s">
        <v>1081</v>
      </c>
      <c r="B1022" s="13" t="n">
        <v>45969</v>
      </c>
      <c r="C1022" s="12" t="str">
        <f aca="false">TEXT(B1022,"yyyy-mm")</f>
        <v>2025-11</v>
      </c>
      <c r="D1022" s="12" t="s">
        <v>39</v>
      </c>
      <c r="E1022" s="12" t="s">
        <v>40</v>
      </c>
      <c r="F1022" s="12" t="s">
        <v>41</v>
      </c>
      <c r="G1022" s="14" t="n">
        <v>2000</v>
      </c>
      <c r="H1022" s="15" t="n">
        <v>16.68</v>
      </c>
      <c r="I1022" s="15" t="n">
        <v>16.59</v>
      </c>
      <c r="J1022" s="16" t="n">
        <f aca="false">G1022*H1022</f>
        <v>33360</v>
      </c>
      <c r="K1022" s="16" t="n">
        <f aca="false">(H1022-I1022)*G1022</f>
        <v>180</v>
      </c>
      <c r="L1022" s="17" t="n">
        <f aca="false">IF(I1022=0,0,H1022/I1022-1)</f>
        <v>0.0054249547920433</v>
      </c>
      <c r="M1022" s="14" t="n">
        <v>1</v>
      </c>
      <c r="N1022" s="18" t="n">
        <v>0.007</v>
      </c>
    </row>
    <row r="1023" customFormat="false" ht="15" hidden="false" customHeight="false" outlineLevel="0" collapsed="false">
      <c r="A1023" s="12" t="s">
        <v>1082</v>
      </c>
      <c r="B1023" s="13" t="n">
        <v>45969</v>
      </c>
      <c r="C1023" s="12" t="str">
        <f aca="false">TEXT(B1023,"yyyy-mm")</f>
        <v>2025-11</v>
      </c>
      <c r="D1023" s="12" t="s">
        <v>58</v>
      </c>
      <c r="E1023" s="12" t="s">
        <v>76</v>
      </c>
      <c r="F1023" s="12" t="s">
        <v>77</v>
      </c>
      <c r="G1023" s="14" t="n">
        <v>400</v>
      </c>
      <c r="H1023" s="15" t="n">
        <v>23.86</v>
      </c>
      <c r="I1023" s="15" t="n">
        <v>24.38</v>
      </c>
      <c r="J1023" s="16" t="n">
        <f aca="false">G1023*H1023</f>
        <v>9544</v>
      </c>
      <c r="K1023" s="16" t="n">
        <f aca="false">(H1023-I1023)*G1023</f>
        <v>-208</v>
      </c>
      <c r="L1023" s="17" t="n">
        <f aca="false">IF(I1023=0,0,H1023/I1023-1)</f>
        <v>-0.0213289581624282</v>
      </c>
      <c r="M1023" s="14" t="n">
        <v>1</v>
      </c>
      <c r="N1023" s="18" t="n">
        <v>0.029</v>
      </c>
    </row>
    <row r="1024" customFormat="false" ht="15" hidden="false" customHeight="false" outlineLevel="0" collapsed="false">
      <c r="A1024" s="12" t="s">
        <v>1083</v>
      </c>
      <c r="B1024" s="13" t="n">
        <v>45969</v>
      </c>
      <c r="C1024" s="12" t="str">
        <f aca="false">TEXT(B1024,"yyyy-mm")</f>
        <v>2025-11</v>
      </c>
      <c r="D1024" s="12" t="s">
        <v>61</v>
      </c>
      <c r="E1024" s="12" t="s">
        <v>36</v>
      </c>
      <c r="F1024" s="12" t="s">
        <v>37</v>
      </c>
      <c r="G1024" s="14" t="n">
        <v>800</v>
      </c>
      <c r="H1024" s="15" t="n">
        <v>13.59</v>
      </c>
      <c r="I1024" s="15" t="n">
        <v>13.92</v>
      </c>
      <c r="J1024" s="16" t="n">
        <f aca="false">G1024*H1024</f>
        <v>10872</v>
      </c>
      <c r="K1024" s="16" t="n">
        <f aca="false">(H1024-I1024)*G1024</f>
        <v>-264</v>
      </c>
      <c r="L1024" s="17" t="n">
        <f aca="false">IF(I1024=0,0,H1024/I1024-1)</f>
        <v>-0.0237068965517241</v>
      </c>
      <c r="M1024" s="14" t="n">
        <v>1</v>
      </c>
      <c r="N1024" s="18" t="n">
        <v>0.024</v>
      </c>
    </row>
    <row r="1025" customFormat="false" ht="15" hidden="false" customHeight="false" outlineLevel="0" collapsed="false">
      <c r="A1025" s="12" t="s">
        <v>1084</v>
      </c>
      <c r="B1025" s="13" t="n">
        <v>45969</v>
      </c>
      <c r="C1025" s="12" t="str">
        <f aca="false">TEXT(B1025,"yyyy-mm")</f>
        <v>2025-11</v>
      </c>
      <c r="D1025" s="12" t="s">
        <v>39</v>
      </c>
      <c r="E1025" s="12" t="s">
        <v>46</v>
      </c>
      <c r="F1025" s="12" t="s">
        <v>47</v>
      </c>
      <c r="G1025" s="14" t="n">
        <v>600</v>
      </c>
      <c r="H1025" s="15" t="n">
        <v>17.25</v>
      </c>
      <c r="I1025" s="15" t="n">
        <v>16.7</v>
      </c>
      <c r="J1025" s="16" t="n">
        <f aca="false">G1025*H1025</f>
        <v>10350</v>
      </c>
      <c r="K1025" s="16" t="n">
        <f aca="false">(H1025-I1025)*G1025</f>
        <v>330</v>
      </c>
      <c r="L1025" s="17" t="n">
        <f aca="false">IF(I1025=0,0,H1025/I1025-1)</f>
        <v>0.032934131736527</v>
      </c>
      <c r="M1025" s="14" t="n">
        <v>1</v>
      </c>
      <c r="N1025" s="18" t="n">
        <v>0.011</v>
      </c>
    </row>
    <row r="1026" customFormat="false" ht="15" hidden="false" customHeight="false" outlineLevel="0" collapsed="false">
      <c r="A1026" s="12" t="s">
        <v>1085</v>
      </c>
      <c r="B1026" s="13" t="n">
        <v>45970</v>
      </c>
      <c r="C1026" s="12" t="str">
        <f aca="false">TEXT(B1026,"yyyy-mm")</f>
        <v>2025-11</v>
      </c>
      <c r="D1026" s="12" t="s">
        <v>61</v>
      </c>
      <c r="E1026" s="12" t="s">
        <v>43</v>
      </c>
      <c r="F1026" s="12" t="s">
        <v>44</v>
      </c>
      <c r="G1026" s="14" t="n">
        <v>1600</v>
      </c>
      <c r="H1026" s="15" t="n">
        <v>13.71</v>
      </c>
      <c r="I1026" s="15" t="n">
        <v>13.5</v>
      </c>
      <c r="J1026" s="16" t="n">
        <f aca="false">G1026*H1026</f>
        <v>21936</v>
      </c>
      <c r="K1026" s="16" t="n">
        <f aca="false">(H1026-I1026)*G1026</f>
        <v>336.000000000001</v>
      </c>
      <c r="L1026" s="17" t="n">
        <f aca="false">IF(I1026=0,0,H1026/I1026-1)</f>
        <v>0.0155555555555555</v>
      </c>
      <c r="M1026" s="14" t="n">
        <v>1</v>
      </c>
      <c r="N1026" s="18" t="n">
        <v>0.014</v>
      </c>
    </row>
    <row r="1027" customFormat="false" ht="15" hidden="false" customHeight="false" outlineLevel="0" collapsed="false">
      <c r="A1027" s="12" t="s">
        <v>1086</v>
      </c>
      <c r="B1027" s="13" t="n">
        <v>45970</v>
      </c>
      <c r="C1027" s="12" t="str">
        <f aca="false">TEXT(B1027,"yyyy-mm")</f>
        <v>2025-11</v>
      </c>
      <c r="D1027" s="12" t="s">
        <v>39</v>
      </c>
      <c r="E1027" s="12" t="s">
        <v>46</v>
      </c>
      <c r="F1027" s="12" t="s">
        <v>47</v>
      </c>
      <c r="G1027" s="14" t="n">
        <v>200</v>
      </c>
      <c r="H1027" s="15" t="n">
        <v>17.98</v>
      </c>
      <c r="I1027" s="15" t="n">
        <v>17.23</v>
      </c>
      <c r="J1027" s="16" t="n">
        <f aca="false">G1027*H1027</f>
        <v>3596</v>
      </c>
      <c r="K1027" s="16" t="n">
        <f aca="false">(H1027-I1027)*G1027</f>
        <v>150</v>
      </c>
      <c r="L1027" s="17" t="n">
        <f aca="false">IF(I1027=0,0,H1027/I1027-1)</f>
        <v>0.0435287289611144</v>
      </c>
      <c r="M1027" s="14" t="n">
        <v>1</v>
      </c>
      <c r="N1027" s="18" t="n">
        <v>0.008</v>
      </c>
    </row>
    <row r="1028" customFormat="false" ht="15" hidden="false" customHeight="false" outlineLevel="0" collapsed="false">
      <c r="A1028" s="12" t="s">
        <v>1087</v>
      </c>
      <c r="B1028" s="13" t="n">
        <v>45970</v>
      </c>
      <c r="C1028" s="12" t="str">
        <f aca="false">TEXT(B1028,"yyyy-mm")</f>
        <v>2025-11</v>
      </c>
      <c r="D1028" s="12" t="s">
        <v>61</v>
      </c>
      <c r="E1028" s="12" t="s">
        <v>43</v>
      </c>
      <c r="F1028" s="12" t="s">
        <v>44</v>
      </c>
      <c r="G1028" s="14" t="n">
        <v>1000</v>
      </c>
      <c r="H1028" s="15" t="n">
        <v>15.03</v>
      </c>
      <c r="I1028" s="15" t="n">
        <v>14.07</v>
      </c>
      <c r="J1028" s="16" t="n">
        <f aca="false">G1028*H1028</f>
        <v>15030</v>
      </c>
      <c r="K1028" s="16" t="n">
        <f aca="false">(H1028-I1028)*G1028</f>
        <v>959.999999999999</v>
      </c>
      <c r="L1028" s="17" t="n">
        <f aca="false">IF(I1028=0,0,H1028/I1028-1)</f>
        <v>0.068230277185501</v>
      </c>
      <c r="M1028" s="14" t="n">
        <v>1</v>
      </c>
      <c r="N1028" s="18" t="n">
        <v>0.015</v>
      </c>
    </row>
    <row r="1029" customFormat="false" ht="15" hidden="false" customHeight="false" outlineLevel="0" collapsed="false">
      <c r="A1029" s="12" t="s">
        <v>1088</v>
      </c>
      <c r="B1029" s="13" t="n">
        <v>45971</v>
      </c>
      <c r="C1029" s="12" t="str">
        <f aca="false">TEXT(B1029,"yyyy-mm")</f>
        <v>2025-11</v>
      </c>
      <c r="D1029" s="12" t="s">
        <v>35</v>
      </c>
      <c r="E1029" s="12" t="s">
        <v>43</v>
      </c>
      <c r="F1029" s="12" t="s">
        <v>44</v>
      </c>
      <c r="G1029" s="14" t="n">
        <v>4000</v>
      </c>
      <c r="H1029" s="15" t="n">
        <v>16.41</v>
      </c>
      <c r="I1029" s="15" t="n">
        <v>16.12</v>
      </c>
      <c r="J1029" s="16" t="n">
        <f aca="false">G1029*H1029</f>
        <v>65640</v>
      </c>
      <c r="K1029" s="16" t="n">
        <f aca="false">(H1029-I1029)*G1029</f>
        <v>1160</v>
      </c>
      <c r="L1029" s="17" t="n">
        <f aca="false">IF(I1029=0,0,H1029/I1029-1)</f>
        <v>0.0179900744416872</v>
      </c>
      <c r="M1029" s="14" t="n">
        <v>1</v>
      </c>
      <c r="N1029" s="18" t="n">
        <v>0.012</v>
      </c>
    </row>
    <row r="1030" customFormat="false" ht="15" hidden="false" customHeight="false" outlineLevel="0" collapsed="false">
      <c r="A1030" s="12" t="s">
        <v>1089</v>
      </c>
      <c r="B1030" s="13" t="n">
        <v>45971</v>
      </c>
      <c r="C1030" s="12" t="str">
        <f aca="false">TEXT(B1030,"yyyy-mm")</f>
        <v>2025-11</v>
      </c>
      <c r="D1030" s="12" t="s">
        <v>58</v>
      </c>
      <c r="E1030" s="12" t="s">
        <v>59</v>
      </c>
      <c r="F1030" s="12" t="s">
        <v>55</v>
      </c>
      <c r="G1030" s="14" t="n">
        <v>800</v>
      </c>
      <c r="H1030" s="15" t="n">
        <v>25.5</v>
      </c>
      <c r="I1030" s="15" t="n">
        <v>24.69</v>
      </c>
      <c r="J1030" s="16" t="n">
        <f aca="false">G1030*H1030</f>
        <v>20400</v>
      </c>
      <c r="K1030" s="16" t="n">
        <f aca="false">(H1030-I1030)*G1030</f>
        <v>647.999999999999</v>
      </c>
      <c r="L1030" s="17" t="n">
        <f aca="false">IF(I1030=0,0,H1030/I1030-1)</f>
        <v>0.0328068043742404</v>
      </c>
      <c r="M1030" s="14" t="n">
        <v>1</v>
      </c>
      <c r="N1030" s="18" t="n">
        <v>0.023</v>
      </c>
    </row>
    <row r="1031" customFormat="false" ht="15" hidden="false" customHeight="false" outlineLevel="0" collapsed="false">
      <c r="A1031" s="12" t="s">
        <v>1090</v>
      </c>
      <c r="B1031" s="13" t="n">
        <v>45971</v>
      </c>
      <c r="C1031" s="12" t="str">
        <f aca="false">TEXT(B1031,"yyyy-mm")</f>
        <v>2025-11</v>
      </c>
      <c r="D1031" s="12" t="s">
        <v>39</v>
      </c>
      <c r="E1031" s="12" t="s">
        <v>49</v>
      </c>
      <c r="F1031" s="12" t="s">
        <v>50</v>
      </c>
      <c r="G1031" s="14" t="n">
        <v>400</v>
      </c>
      <c r="H1031" s="15" t="n">
        <v>17.23</v>
      </c>
      <c r="I1031" s="15" t="n">
        <v>17.14</v>
      </c>
      <c r="J1031" s="16" t="n">
        <f aca="false">G1031*H1031</f>
        <v>6892</v>
      </c>
      <c r="K1031" s="16" t="n">
        <f aca="false">(H1031-I1031)*G1031</f>
        <v>35.9999999999999</v>
      </c>
      <c r="L1031" s="17" t="n">
        <f aca="false">IF(I1031=0,0,H1031/I1031-1)</f>
        <v>0.00525087514585754</v>
      </c>
      <c r="M1031" s="14" t="n">
        <v>1</v>
      </c>
      <c r="N1031" s="18" t="n">
        <v>0.025</v>
      </c>
    </row>
    <row r="1032" customFormat="false" ht="15" hidden="false" customHeight="false" outlineLevel="0" collapsed="false">
      <c r="A1032" s="12" t="s">
        <v>1091</v>
      </c>
      <c r="B1032" s="13" t="n">
        <v>45971</v>
      </c>
      <c r="C1032" s="12" t="str">
        <f aca="false">TEXT(B1032,"yyyy-mm")</f>
        <v>2025-11</v>
      </c>
      <c r="D1032" s="12" t="s">
        <v>39</v>
      </c>
      <c r="E1032" s="12" t="s">
        <v>46</v>
      </c>
      <c r="F1032" s="12" t="s">
        <v>47</v>
      </c>
      <c r="G1032" s="14" t="n">
        <v>1200</v>
      </c>
      <c r="H1032" s="15" t="n">
        <v>18.56</v>
      </c>
      <c r="I1032" s="15" t="n">
        <v>17.53</v>
      </c>
      <c r="J1032" s="16" t="n">
        <f aca="false">G1032*H1032</f>
        <v>22272</v>
      </c>
      <c r="K1032" s="16" t="n">
        <f aca="false">(H1032-I1032)*G1032</f>
        <v>1236</v>
      </c>
      <c r="L1032" s="17" t="n">
        <f aca="false">IF(I1032=0,0,H1032/I1032-1)</f>
        <v>0.05875641756988</v>
      </c>
      <c r="M1032" s="14" t="n">
        <v>1</v>
      </c>
      <c r="N1032" s="18" t="n">
        <v>0.008</v>
      </c>
    </row>
    <row r="1033" customFormat="false" ht="15" hidden="false" customHeight="false" outlineLevel="0" collapsed="false">
      <c r="A1033" s="12" t="s">
        <v>1092</v>
      </c>
      <c r="B1033" s="13" t="n">
        <v>45972</v>
      </c>
      <c r="C1033" s="12" t="str">
        <f aca="false">TEXT(B1033,"yyyy-mm")</f>
        <v>2025-11</v>
      </c>
      <c r="D1033" s="12" t="s">
        <v>111</v>
      </c>
      <c r="E1033" s="12" t="s">
        <v>76</v>
      </c>
      <c r="F1033" s="12" t="s">
        <v>77</v>
      </c>
      <c r="G1033" s="14" t="n">
        <v>1600</v>
      </c>
      <c r="H1033" s="15" t="n">
        <v>17.34</v>
      </c>
      <c r="I1033" s="15" t="n">
        <v>16.82</v>
      </c>
      <c r="J1033" s="16" t="n">
        <f aca="false">G1033*H1033</f>
        <v>27744</v>
      </c>
      <c r="K1033" s="16" t="n">
        <f aca="false">(H1033-I1033)*G1033</f>
        <v>831.999999999999</v>
      </c>
      <c r="L1033" s="17" t="n">
        <f aca="false">IF(I1033=0,0,H1033/I1033-1)</f>
        <v>0.0309155766944114</v>
      </c>
      <c r="M1033" s="14" t="n">
        <v>1</v>
      </c>
      <c r="N1033" s="18" t="n">
        <v>0.022</v>
      </c>
    </row>
    <row r="1034" customFormat="false" ht="15" hidden="false" customHeight="false" outlineLevel="0" collapsed="false">
      <c r="A1034" s="12" t="s">
        <v>1093</v>
      </c>
      <c r="B1034" s="13" t="n">
        <v>45973</v>
      </c>
      <c r="C1034" s="12" t="str">
        <f aca="false">TEXT(B1034,"yyyy-mm")</f>
        <v>2025-11</v>
      </c>
      <c r="D1034" s="12" t="s">
        <v>61</v>
      </c>
      <c r="E1034" s="12" t="s">
        <v>36</v>
      </c>
      <c r="F1034" s="12" t="s">
        <v>37</v>
      </c>
      <c r="G1034" s="14" t="n">
        <v>200</v>
      </c>
      <c r="H1034" s="15" t="n">
        <v>13.52</v>
      </c>
      <c r="I1034" s="15" t="n">
        <v>13.76</v>
      </c>
      <c r="J1034" s="16" t="n">
        <f aca="false">G1034*H1034</f>
        <v>2704</v>
      </c>
      <c r="K1034" s="16" t="n">
        <f aca="false">(H1034-I1034)*G1034</f>
        <v>-48</v>
      </c>
      <c r="L1034" s="17" t="n">
        <f aca="false">IF(I1034=0,0,H1034/I1034-1)</f>
        <v>-0.0174418604651163</v>
      </c>
      <c r="M1034" s="14" t="n">
        <v>1</v>
      </c>
      <c r="N1034" s="18" t="n">
        <v>0.015</v>
      </c>
    </row>
    <row r="1035" customFormat="false" ht="15" hidden="false" customHeight="false" outlineLevel="0" collapsed="false">
      <c r="A1035" s="12" t="s">
        <v>1094</v>
      </c>
      <c r="B1035" s="13" t="n">
        <v>45973</v>
      </c>
      <c r="C1035" s="12" t="str">
        <f aca="false">TEXT(B1035,"yyyy-mm")</f>
        <v>2025-11</v>
      </c>
      <c r="D1035" s="12" t="s">
        <v>61</v>
      </c>
      <c r="E1035" s="12" t="s">
        <v>43</v>
      </c>
      <c r="F1035" s="12" t="s">
        <v>44</v>
      </c>
      <c r="G1035" s="14" t="n">
        <v>1200</v>
      </c>
      <c r="H1035" s="15" t="n">
        <v>13.79</v>
      </c>
      <c r="I1035" s="15" t="n">
        <v>13.62</v>
      </c>
      <c r="J1035" s="16" t="n">
        <f aca="false">G1035*H1035</f>
        <v>16548</v>
      </c>
      <c r="K1035" s="16" t="n">
        <f aca="false">(H1035-I1035)*G1035</f>
        <v>204</v>
      </c>
      <c r="L1035" s="17" t="n">
        <f aca="false">IF(I1035=0,0,H1035/I1035-1)</f>
        <v>0.0124816446402349</v>
      </c>
      <c r="M1035" s="14" t="n">
        <v>1</v>
      </c>
      <c r="N1035" s="18" t="n">
        <v>0.01</v>
      </c>
    </row>
    <row r="1036" customFormat="false" ht="15" hidden="false" customHeight="false" outlineLevel="0" collapsed="false">
      <c r="A1036" s="12" t="s">
        <v>1095</v>
      </c>
      <c r="B1036" s="13" t="n">
        <v>45973</v>
      </c>
      <c r="C1036" s="12" t="str">
        <f aca="false">TEXT(B1036,"yyyy-mm")</f>
        <v>2025-11</v>
      </c>
      <c r="D1036" s="12" t="s">
        <v>39</v>
      </c>
      <c r="E1036" s="12" t="s">
        <v>46</v>
      </c>
      <c r="F1036" s="12" t="s">
        <v>47</v>
      </c>
      <c r="G1036" s="14" t="n">
        <v>200</v>
      </c>
      <c r="H1036" s="15" t="n">
        <v>17.83</v>
      </c>
      <c r="I1036" s="15" t="n">
        <v>16.67</v>
      </c>
      <c r="J1036" s="16" t="n">
        <f aca="false">G1036*H1036</f>
        <v>3566</v>
      </c>
      <c r="K1036" s="16" t="n">
        <f aca="false">(H1036-I1036)*G1036</f>
        <v>231.999999999999</v>
      </c>
      <c r="L1036" s="17" t="n">
        <f aca="false">IF(I1036=0,0,H1036/I1036-1)</f>
        <v>0.0695860827834431</v>
      </c>
      <c r="M1036" s="14" t="n">
        <v>1</v>
      </c>
      <c r="N1036" s="18" t="n">
        <v>0.008</v>
      </c>
    </row>
    <row r="1037" customFormat="false" ht="15" hidden="false" customHeight="false" outlineLevel="0" collapsed="false">
      <c r="A1037" s="12" t="s">
        <v>1096</v>
      </c>
      <c r="B1037" s="13" t="n">
        <v>45974</v>
      </c>
      <c r="C1037" s="12" t="str">
        <f aca="false">TEXT(B1037,"yyyy-mm")</f>
        <v>2025-11</v>
      </c>
      <c r="D1037" s="12" t="s">
        <v>58</v>
      </c>
      <c r="E1037" s="12" t="s">
        <v>59</v>
      </c>
      <c r="F1037" s="12" t="s">
        <v>55</v>
      </c>
      <c r="G1037" s="14" t="n">
        <v>400</v>
      </c>
      <c r="H1037" s="15" t="n">
        <v>25.73</v>
      </c>
      <c r="I1037" s="15" t="n">
        <v>23.71</v>
      </c>
      <c r="J1037" s="16" t="n">
        <f aca="false">G1037*H1037</f>
        <v>10292</v>
      </c>
      <c r="K1037" s="16" t="n">
        <f aca="false">(H1037-I1037)*G1037</f>
        <v>808</v>
      </c>
      <c r="L1037" s="17" t="n">
        <f aca="false">IF(I1037=0,0,H1037/I1037-1)</f>
        <v>0.0851961197806832</v>
      </c>
      <c r="M1037" s="14" t="n">
        <v>1</v>
      </c>
      <c r="N1037" s="18" t="n">
        <v>0.024</v>
      </c>
    </row>
    <row r="1038" customFormat="false" ht="15" hidden="false" customHeight="false" outlineLevel="0" collapsed="false">
      <c r="A1038" s="12" t="s">
        <v>1097</v>
      </c>
      <c r="B1038" s="13" t="n">
        <v>45975</v>
      </c>
      <c r="C1038" s="12" t="str">
        <f aca="false">TEXT(B1038,"yyyy-mm")</f>
        <v>2025-11</v>
      </c>
      <c r="D1038" s="12" t="s">
        <v>75</v>
      </c>
      <c r="E1038" s="12" t="s">
        <v>76</v>
      </c>
      <c r="F1038" s="12" t="s">
        <v>77</v>
      </c>
      <c r="G1038" s="14" t="n">
        <v>2000</v>
      </c>
      <c r="H1038" s="15" t="n">
        <v>21.49</v>
      </c>
      <c r="I1038" s="15" t="n">
        <v>20.88</v>
      </c>
      <c r="J1038" s="16" t="n">
        <f aca="false">G1038*H1038</f>
        <v>42980</v>
      </c>
      <c r="K1038" s="16" t="n">
        <f aca="false">(H1038-I1038)*G1038</f>
        <v>1220</v>
      </c>
      <c r="L1038" s="17" t="n">
        <f aca="false">IF(I1038=0,0,H1038/I1038-1)</f>
        <v>0.0292145593869733</v>
      </c>
      <c r="M1038" s="14" t="n">
        <v>1</v>
      </c>
      <c r="N1038" s="18" t="n">
        <v>0.039</v>
      </c>
    </row>
    <row r="1039" customFormat="false" ht="15" hidden="false" customHeight="false" outlineLevel="0" collapsed="false">
      <c r="A1039" s="12" t="s">
        <v>1098</v>
      </c>
      <c r="B1039" s="13" t="n">
        <v>45975</v>
      </c>
      <c r="C1039" s="12" t="str">
        <f aca="false">TEXT(B1039,"yyyy-mm")</f>
        <v>2025-11</v>
      </c>
      <c r="D1039" s="12" t="s">
        <v>58</v>
      </c>
      <c r="E1039" s="12" t="s">
        <v>40</v>
      </c>
      <c r="F1039" s="12" t="s">
        <v>41</v>
      </c>
      <c r="G1039" s="14" t="n">
        <v>1200</v>
      </c>
      <c r="H1039" s="15" t="n">
        <v>24.63</v>
      </c>
      <c r="I1039" s="15" t="n">
        <v>23.75</v>
      </c>
      <c r="J1039" s="16" t="n">
        <f aca="false">G1039*H1039</f>
        <v>29556</v>
      </c>
      <c r="K1039" s="16" t="n">
        <f aca="false">(H1039-I1039)*G1039</f>
        <v>1056</v>
      </c>
      <c r="L1039" s="17" t="n">
        <f aca="false">IF(I1039=0,0,H1039/I1039-1)</f>
        <v>0.0370526315789472</v>
      </c>
      <c r="M1039" s="14" t="n">
        <v>1</v>
      </c>
      <c r="N1039" s="18" t="n">
        <v>0.017</v>
      </c>
    </row>
    <row r="1040" customFormat="false" ht="15" hidden="false" customHeight="false" outlineLevel="0" collapsed="false">
      <c r="A1040" s="12" t="s">
        <v>1099</v>
      </c>
      <c r="B1040" s="13" t="n">
        <v>45975</v>
      </c>
      <c r="C1040" s="12" t="str">
        <f aca="false">TEXT(B1040,"yyyy-mm")</f>
        <v>2025-11</v>
      </c>
      <c r="D1040" s="12" t="s">
        <v>58</v>
      </c>
      <c r="E1040" s="12" t="s">
        <v>40</v>
      </c>
      <c r="F1040" s="12" t="s">
        <v>41</v>
      </c>
      <c r="G1040" s="14" t="n">
        <v>600</v>
      </c>
      <c r="H1040" s="15" t="n">
        <v>23.6</v>
      </c>
      <c r="I1040" s="15" t="n">
        <v>23.89</v>
      </c>
      <c r="J1040" s="16" t="n">
        <f aca="false">G1040*H1040</f>
        <v>14160</v>
      </c>
      <c r="K1040" s="16" t="n">
        <f aca="false">(H1040-I1040)*G1040</f>
        <v>-174</v>
      </c>
      <c r="L1040" s="17" t="n">
        <f aca="false">IF(I1040=0,0,H1040/I1040-1)</f>
        <v>-0.0121389702804521</v>
      </c>
      <c r="M1040" s="14" t="n">
        <v>1</v>
      </c>
      <c r="N1040" s="18" t="n">
        <v>0.013</v>
      </c>
    </row>
    <row r="1041" customFormat="false" ht="15" hidden="false" customHeight="false" outlineLevel="0" collapsed="false">
      <c r="A1041" s="12" t="s">
        <v>1100</v>
      </c>
      <c r="B1041" s="13" t="n">
        <v>45975</v>
      </c>
      <c r="C1041" s="12" t="str">
        <f aca="false">TEXT(B1041,"yyyy-mm")</f>
        <v>2025-11</v>
      </c>
      <c r="D1041" s="12" t="s">
        <v>58</v>
      </c>
      <c r="E1041" s="12" t="s">
        <v>76</v>
      </c>
      <c r="F1041" s="12" t="s">
        <v>77</v>
      </c>
      <c r="G1041" s="14" t="n">
        <v>1600</v>
      </c>
      <c r="H1041" s="15" t="n">
        <v>25.16</v>
      </c>
      <c r="I1041" s="15" t="n">
        <v>25.04</v>
      </c>
      <c r="J1041" s="16" t="n">
        <f aca="false">G1041*H1041</f>
        <v>40256</v>
      </c>
      <c r="K1041" s="16" t="n">
        <f aca="false">(H1041-I1041)*G1041</f>
        <v>192.000000000002</v>
      </c>
      <c r="L1041" s="17" t="n">
        <f aca="false">IF(I1041=0,0,H1041/I1041-1)</f>
        <v>0.00479233226837073</v>
      </c>
      <c r="M1041" s="14" t="n">
        <v>1</v>
      </c>
      <c r="N1041" s="18" t="n">
        <v>0.03</v>
      </c>
    </row>
    <row r="1042" customFormat="false" ht="15" hidden="false" customHeight="false" outlineLevel="0" collapsed="false">
      <c r="A1042" s="12" t="s">
        <v>1101</v>
      </c>
      <c r="B1042" s="13" t="n">
        <v>45976</v>
      </c>
      <c r="C1042" s="12" t="str">
        <f aca="false">TEXT(B1042,"yyyy-mm")</f>
        <v>2025-11</v>
      </c>
      <c r="D1042" s="12" t="s">
        <v>80</v>
      </c>
      <c r="E1042" s="12" t="s">
        <v>76</v>
      </c>
      <c r="F1042" s="12" t="s">
        <v>77</v>
      </c>
      <c r="G1042" s="14" t="n">
        <v>200</v>
      </c>
      <c r="H1042" s="15" t="n">
        <v>19.52</v>
      </c>
      <c r="I1042" s="15" t="n">
        <v>19.95</v>
      </c>
      <c r="J1042" s="16" t="n">
        <f aca="false">G1042*H1042</f>
        <v>3904</v>
      </c>
      <c r="K1042" s="16" t="n">
        <f aca="false">(H1042-I1042)*G1042</f>
        <v>-85.9999999999999</v>
      </c>
      <c r="L1042" s="17" t="n">
        <f aca="false">IF(I1042=0,0,H1042/I1042-1)</f>
        <v>-0.0215538847117794</v>
      </c>
      <c r="M1042" s="14" t="n">
        <v>1</v>
      </c>
      <c r="N1042" s="18" t="n">
        <v>0.02</v>
      </c>
    </row>
    <row r="1043" customFormat="false" ht="15" hidden="false" customHeight="false" outlineLevel="0" collapsed="false">
      <c r="A1043" s="12" t="s">
        <v>1102</v>
      </c>
      <c r="B1043" s="13" t="n">
        <v>45976</v>
      </c>
      <c r="C1043" s="12" t="str">
        <f aca="false">TEXT(B1043,"yyyy-mm")</f>
        <v>2025-11</v>
      </c>
      <c r="D1043" s="12" t="s">
        <v>80</v>
      </c>
      <c r="E1043" s="12" t="s">
        <v>92</v>
      </c>
      <c r="F1043" s="12" t="s">
        <v>93</v>
      </c>
      <c r="G1043" s="14" t="n">
        <v>400</v>
      </c>
      <c r="H1043" s="15" t="n">
        <v>19.46</v>
      </c>
      <c r="I1043" s="15" t="n">
        <v>21.04</v>
      </c>
      <c r="J1043" s="16" t="n">
        <f aca="false">G1043*H1043</f>
        <v>7784</v>
      </c>
      <c r="K1043" s="16" t="n">
        <f aca="false">(H1043-I1043)*G1043</f>
        <v>-631.999999999999</v>
      </c>
      <c r="L1043" s="17" t="n">
        <f aca="false">IF(I1043=0,0,H1043/I1043-1)</f>
        <v>-0.0750950570342205</v>
      </c>
      <c r="M1043" s="14" t="n">
        <v>1</v>
      </c>
      <c r="N1043" s="18" t="n">
        <v>0.028</v>
      </c>
    </row>
    <row r="1044" customFormat="false" ht="15" hidden="false" customHeight="false" outlineLevel="0" collapsed="false">
      <c r="A1044" s="12" t="s">
        <v>1103</v>
      </c>
      <c r="B1044" s="13" t="n">
        <v>45976</v>
      </c>
      <c r="C1044" s="12" t="str">
        <f aca="false">TEXT(B1044,"yyyy-mm")</f>
        <v>2025-11</v>
      </c>
      <c r="D1044" s="12" t="s">
        <v>53</v>
      </c>
      <c r="E1044" s="12" t="s">
        <v>54</v>
      </c>
      <c r="F1044" s="12" t="s">
        <v>55</v>
      </c>
      <c r="G1044" s="14" t="n">
        <v>1600</v>
      </c>
      <c r="H1044" s="15" t="n">
        <v>13.61</v>
      </c>
      <c r="I1044" s="15" t="n">
        <v>13.43</v>
      </c>
      <c r="J1044" s="16" t="n">
        <f aca="false">G1044*H1044</f>
        <v>21776</v>
      </c>
      <c r="K1044" s="16" t="n">
        <f aca="false">(H1044-I1044)*G1044</f>
        <v>288</v>
      </c>
      <c r="L1044" s="17" t="n">
        <f aca="false">IF(I1044=0,0,H1044/I1044-1)</f>
        <v>0.013402829486225</v>
      </c>
      <c r="M1044" s="14" t="n">
        <v>1</v>
      </c>
      <c r="N1044" s="18" t="n">
        <v>0.013</v>
      </c>
    </row>
    <row r="1045" customFormat="false" ht="15" hidden="false" customHeight="false" outlineLevel="0" collapsed="false">
      <c r="A1045" s="12" t="s">
        <v>1104</v>
      </c>
      <c r="B1045" s="13" t="n">
        <v>45976</v>
      </c>
      <c r="C1045" s="12" t="str">
        <f aca="false">TEXT(B1045,"yyyy-mm")</f>
        <v>2025-11</v>
      </c>
      <c r="D1045" s="12" t="s">
        <v>35</v>
      </c>
      <c r="E1045" s="12" t="s">
        <v>36</v>
      </c>
      <c r="F1045" s="12" t="s">
        <v>37</v>
      </c>
      <c r="G1045" s="14" t="n">
        <v>1200</v>
      </c>
      <c r="H1045" s="15" t="n">
        <v>16.11</v>
      </c>
      <c r="I1045" s="15" t="n">
        <v>15.82</v>
      </c>
      <c r="J1045" s="16" t="n">
        <f aca="false">G1045*H1045</f>
        <v>19332</v>
      </c>
      <c r="K1045" s="16" t="n">
        <f aca="false">(H1045-I1045)*G1045</f>
        <v>347.999999999999</v>
      </c>
      <c r="L1045" s="17" t="n">
        <f aca="false">IF(I1045=0,0,H1045/I1045-1)</f>
        <v>0.018331226295828</v>
      </c>
      <c r="M1045" s="14" t="n">
        <v>1</v>
      </c>
      <c r="N1045" s="18" t="n">
        <v>0.021</v>
      </c>
    </row>
    <row r="1046" customFormat="false" ht="15" hidden="false" customHeight="false" outlineLevel="0" collapsed="false">
      <c r="A1046" s="12" t="s">
        <v>1105</v>
      </c>
      <c r="B1046" s="13" t="n">
        <v>45976</v>
      </c>
      <c r="C1046" s="12" t="str">
        <f aca="false">TEXT(B1046,"yyyy-mm")</f>
        <v>2025-11</v>
      </c>
      <c r="D1046" s="12" t="s">
        <v>39</v>
      </c>
      <c r="E1046" s="12" t="s">
        <v>46</v>
      </c>
      <c r="F1046" s="12" t="s">
        <v>47</v>
      </c>
      <c r="G1046" s="14" t="n">
        <v>2000</v>
      </c>
      <c r="H1046" s="15" t="n">
        <v>18.03</v>
      </c>
      <c r="I1046" s="15" t="n">
        <v>17.46</v>
      </c>
      <c r="J1046" s="16" t="n">
        <f aca="false">G1046*H1046</f>
        <v>36060</v>
      </c>
      <c r="K1046" s="16" t="n">
        <f aca="false">(H1046-I1046)*G1046</f>
        <v>1140</v>
      </c>
      <c r="L1046" s="17" t="n">
        <f aca="false">IF(I1046=0,0,H1046/I1046-1)</f>
        <v>0.0326460481099657</v>
      </c>
      <c r="M1046" s="14" t="n">
        <v>1</v>
      </c>
      <c r="N1046" s="18" t="n">
        <v>0.008</v>
      </c>
    </row>
    <row r="1047" customFormat="false" ht="15" hidden="false" customHeight="false" outlineLevel="0" collapsed="false">
      <c r="A1047" s="12" t="s">
        <v>1106</v>
      </c>
      <c r="B1047" s="13" t="n">
        <v>45976</v>
      </c>
      <c r="C1047" s="12" t="str">
        <f aca="false">TEXT(B1047,"yyyy-mm")</f>
        <v>2025-11</v>
      </c>
      <c r="D1047" s="12" t="s">
        <v>80</v>
      </c>
      <c r="E1047" s="12" t="s">
        <v>81</v>
      </c>
      <c r="F1047" s="12" t="s">
        <v>82</v>
      </c>
      <c r="G1047" s="14" t="n">
        <v>1600</v>
      </c>
      <c r="H1047" s="15" t="n">
        <v>19.66</v>
      </c>
      <c r="I1047" s="15" t="n">
        <v>19.94</v>
      </c>
      <c r="J1047" s="16" t="n">
        <f aca="false">G1047*H1047</f>
        <v>31456</v>
      </c>
      <c r="K1047" s="16" t="n">
        <f aca="false">(H1047-I1047)*G1047</f>
        <v>-448.000000000002</v>
      </c>
      <c r="L1047" s="17" t="n">
        <f aca="false">IF(I1047=0,0,H1047/I1047-1)</f>
        <v>-0.0140421263791375</v>
      </c>
      <c r="M1047" s="14" t="n">
        <v>1</v>
      </c>
      <c r="N1047" s="18" t="n">
        <v>0.035</v>
      </c>
    </row>
    <row r="1048" customFormat="false" ht="15" hidden="false" customHeight="false" outlineLevel="0" collapsed="false">
      <c r="A1048" s="12" t="s">
        <v>1107</v>
      </c>
      <c r="B1048" s="13" t="n">
        <v>45977</v>
      </c>
      <c r="C1048" s="12" t="str">
        <f aca="false">TEXT(B1048,"yyyy-mm")</f>
        <v>2025-11</v>
      </c>
      <c r="D1048" s="12" t="s">
        <v>53</v>
      </c>
      <c r="E1048" s="12" t="s">
        <v>54</v>
      </c>
      <c r="F1048" s="12" t="s">
        <v>55</v>
      </c>
      <c r="G1048" s="14" t="n">
        <v>200</v>
      </c>
      <c r="H1048" s="15" t="n">
        <v>14.38</v>
      </c>
      <c r="I1048" s="15" t="n">
        <v>13.92</v>
      </c>
      <c r="J1048" s="16" t="n">
        <f aca="false">G1048*H1048</f>
        <v>2876</v>
      </c>
      <c r="K1048" s="16" t="n">
        <f aca="false">(H1048-I1048)*G1048</f>
        <v>92.0000000000002</v>
      </c>
      <c r="L1048" s="17" t="n">
        <f aca="false">IF(I1048=0,0,H1048/I1048-1)</f>
        <v>0.0330459770114944</v>
      </c>
      <c r="M1048" s="14" t="n">
        <v>1</v>
      </c>
      <c r="N1048" s="18" t="n">
        <v>0.012</v>
      </c>
    </row>
    <row r="1049" customFormat="false" ht="15" hidden="false" customHeight="false" outlineLevel="0" collapsed="false">
      <c r="A1049" s="12" t="s">
        <v>1108</v>
      </c>
      <c r="B1049" s="13" t="n">
        <v>45977</v>
      </c>
      <c r="C1049" s="12" t="str">
        <f aca="false">TEXT(B1049,"yyyy-mm")</f>
        <v>2025-11</v>
      </c>
      <c r="D1049" s="12" t="s">
        <v>80</v>
      </c>
      <c r="E1049" s="12" t="s">
        <v>81</v>
      </c>
      <c r="F1049" s="12" t="s">
        <v>82</v>
      </c>
      <c r="G1049" s="14" t="n">
        <v>800</v>
      </c>
      <c r="H1049" s="15" t="n">
        <v>19.94</v>
      </c>
      <c r="I1049" s="15" t="n">
        <v>20.51</v>
      </c>
      <c r="J1049" s="16" t="n">
        <f aca="false">G1049*H1049</f>
        <v>15952</v>
      </c>
      <c r="K1049" s="16" t="n">
        <f aca="false">(H1049-I1049)*G1049</f>
        <v>-456</v>
      </c>
      <c r="L1049" s="17" t="n">
        <f aca="false">IF(I1049=0,0,H1049/I1049-1)</f>
        <v>-0.0277913213066797</v>
      </c>
      <c r="M1049" s="14" t="n">
        <v>1</v>
      </c>
      <c r="N1049" s="18" t="n">
        <v>0.044</v>
      </c>
    </row>
    <row r="1050" customFormat="false" ht="15" hidden="false" customHeight="false" outlineLevel="0" collapsed="false">
      <c r="A1050" s="12" t="s">
        <v>1109</v>
      </c>
      <c r="B1050" s="13" t="n">
        <v>45978</v>
      </c>
      <c r="C1050" s="12" t="str">
        <f aca="false">TEXT(B1050,"yyyy-mm")</f>
        <v>2025-11</v>
      </c>
      <c r="D1050" s="12" t="s">
        <v>61</v>
      </c>
      <c r="E1050" s="12" t="s">
        <v>43</v>
      </c>
      <c r="F1050" s="12" t="s">
        <v>44</v>
      </c>
      <c r="G1050" s="14" t="n">
        <v>1200</v>
      </c>
      <c r="H1050" s="15" t="n">
        <v>13.53</v>
      </c>
      <c r="I1050" s="15" t="n">
        <v>13.45</v>
      </c>
      <c r="J1050" s="16" t="n">
        <f aca="false">G1050*H1050</f>
        <v>16236</v>
      </c>
      <c r="K1050" s="16" t="n">
        <f aca="false">(H1050-I1050)*G1050</f>
        <v>96.0000000000001</v>
      </c>
      <c r="L1050" s="17" t="n">
        <f aca="false">IF(I1050=0,0,H1050/I1050-1)</f>
        <v>0.00594795539033455</v>
      </c>
      <c r="M1050" s="14" t="n">
        <v>1</v>
      </c>
      <c r="N1050" s="18" t="n">
        <v>0.009</v>
      </c>
    </row>
    <row r="1051" customFormat="false" ht="15" hidden="false" customHeight="false" outlineLevel="0" collapsed="false">
      <c r="A1051" s="12" t="s">
        <v>1110</v>
      </c>
      <c r="B1051" s="13" t="n">
        <v>45978</v>
      </c>
      <c r="C1051" s="12" t="str">
        <f aca="false">TEXT(B1051,"yyyy-mm")</f>
        <v>2025-11</v>
      </c>
      <c r="D1051" s="12" t="s">
        <v>75</v>
      </c>
      <c r="E1051" s="12" t="s">
        <v>76</v>
      </c>
      <c r="F1051" s="12" t="s">
        <v>77</v>
      </c>
      <c r="G1051" s="14" t="n">
        <v>800</v>
      </c>
      <c r="H1051" s="15" t="n">
        <v>21.11</v>
      </c>
      <c r="I1051" s="15" t="n">
        <v>20.71</v>
      </c>
      <c r="J1051" s="16" t="n">
        <f aca="false">G1051*H1051</f>
        <v>16888</v>
      </c>
      <c r="K1051" s="16" t="n">
        <f aca="false">(H1051-I1051)*G1051</f>
        <v>319.999999999999</v>
      </c>
      <c r="L1051" s="17" t="n">
        <f aca="false">IF(I1051=0,0,H1051/I1051-1)</f>
        <v>0.0193143408981167</v>
      </c>
      <c r="M1051" s="14" t="n">
        <v>1</v>
      </c>
      <c r="N1051" s="18" t="n">
        <v>0.02</v>
      </c>
    </row>
    <row r="1052" customFormat="false" ht="15" hidden="false" customHeight="false" outlineLevel="0" collapsed="false">
      <c r="A1052" s="12" t="s">
        <v>1111</v>
      </c>
      <c r="B1052" s="13" t="n">
        <v>45978</v>
      </c>
      <c r="C1052" s="12" t="str">
        <f aca="false">TEXT(B1052,"yyyy-mm")</f>
        <v>2025-11</v>
      </c>
      <c r="D1052" s="12" t="s">
        <v>75</v>
      </c>
      <c r="E1052" s="12" t="s">
        <v>40</v>
      </c>
      <c r="F1052" s="12" t="s">
        <v>41</v>
      </c>
      <c r="G1052" s="14" t="n">
        <v>1200</v>
      </c>
      <c r="H1052" s="15" t="n">
        <v>21.66</v>
      </c>
      <c r="I1052" s="15" t="n">
        <v>20.83</v>
      </c>
      <c r="J1052" s="16" t="n">
        <f aca="false">G1052*H1052</f>
        <v>25992</v>
      </c>
      <c r="K1052" s="16" t="n">
        <f aca="false">(H1052-I1052)*G1052</f>
        <v>996.000000000002</v>
      </c>
      <c r="L1052" s="17" t="n">
        <f aca="false">IF(I1052=0,0,H1052/I1052-1)</f>
        <v>0.0398463754200673</v>
      </c>
      <c r="M1052" s="14" t="n">
        <v>1</v>
      </c>
      <c r="N1052" s="18" t="n">
        <v>0.016</v>
      </c>
    </row>
    <row r="1053" customFormat="false" ht="15" hidden="false" customHeight="false" outlineLevel="0" collapsed="false">
      <c r="A1053" s="12" t="s">
        <v>1112</v>
      </c>
      <c r="B1053" s="13" t="n">
        <v>45978</v>
      </c>
      <c r="C1053" s="12" t="str">
        <f aca="false">TEXT(B1053,"yyyy-mm")</f>
        <v>2025-11</v>
      </c>
      <c r="D1053" s="12" t="s">
        <v>111</v>
      </c>
      <c r="E1053" s="12" t="s">
        <v>92</v>
      </c>
      <c r="F1053" s="12" t="s">
        <v>93</v>
      </c>
      <c r="G1053" s="14" t="n">
        <v>200</v>
      </c>
      <c r="H1053" s="15" t="n">
        <v>16.07</v>
      </c>
      <c r="I1053" s="15" t="n">
        <v>17.55</v>
      </c>
      <c r="J1053" s="16" t="n">
        <f aca="false">G1053*H1053</f>
        <v>3214</v>
      </c>
      <c r="K1053" s="16" t="n">
        <f aca="false">(H1053-I1053)*G1053</f>
        <v>-296</v>
      </c>
      <c r="L1053" s="17" t="n">
        <f aca="false">IF(I1053=0,0,H1053/I1053-1)</f>
        <v>-0.0843304843304844</v>
      </c>
      <c r="M1053" s="14" t="n">
        <v>1</v>
      </c>
      <c r="N1053" s="18" t="n">
        <v>0.05</v>
      </c>
    </row>
    <row r="1054" customFormat="false" ht="15" hidden="false" customHeight="false" outlineLevel="0" collapsed="false">
      <c r="A1054" s="12" t="s">
        <v>1113</v>
      </c>
      <c r="B1054" s="13" t="n">
        <v>45979</v>
      </c>
      <c r="C1054" s="12" t="str">
        <f aca="false">TEXT(B1054,"yyyy-mm")</f>
        <v>2025-11</v>
      </c>
      <c r="D1054" s="12" t="s">
        <v>58</v>
      </c>
      <c r="E1054" s="12" t="s">
        <v>40</v>
      </c>
      <c r="F1054" s="12" t="s">
        <v>41</v>
      </c>
      <c r="G1054" s="14" t="n">
        <v>1600</v>
      </c>
      <c r="H1054" s="15" t="n">
        <v>24.1</v>
      </c>
      <c r="I1054" s="15" t="n">
        <v>24.49</v>
      </c>
      <c r="J1054" s="16" t="n">
        <f aca="false">G1054*H1054</f>
        <v>38560</v>
      </c>
      <c r="K1054" s="16" t="n">
        <f aca="false">(H1054-I1054)*G1054</f>
        <v>-623.999999999995</v>
      </c>
      <c r="L1054" s="17" t="n">
        <f aca="false">IF(I1054=0,0,H1054/I1054-1)</f>
        <v>-0.0159248672927724</v>
      </c>
      <c r="M1054" s="14" t="n">
        <v>1</v>
      </c>
      <c r="N1054" s="18" t="n">
        <v>0.015</v>
      </c>
    </row>
    <row r="1055" customFormat="false" ht="15" hidden="false" customHeight="false" outlineLevel="0" collapsed="false">
      <c r="A1055" s="12" t="s">
        <v>1114</v>
      </c>
      <c r="B1055" s="13" t="n">
        <v>45979</v>
      </c>
      <c r="C1055" s="12" t="str">
        <f aca="false">TEXT(B1055,"yyyy-mm")</f>
        <v>2025-11</v>
      </c>
      <c r="D1055" s="12" t="s">
        <v>53</v>
      </c>
      <c r="E1055" s="12" t="s">
        <v>54</v>
      </c>
      <c r="F1055" s="12" t="s">
        <v>55</v>
      </c>
      <c r="G1055" s="14" t="n">
        <v>1000</v>
      </c>
      <c r="H1055" s="15" t="n">
        <v>13.89</v>
      </c>
      <c r="I1055" s="15" t="n">
        <v>13.69</v>
      </c>
      <c r="J1055" s="16" t="n">
        <f aca="false">G1055*H1055</f>
        <v>13890</v>
      </c>
      <c r="K1055" s="16" t="n">
        <f aca="false">(H1055-I1055)*G1055</f>
        <v>200.000000000001</v>
      </c>
      <c r="L1055" s="17" t="n">
        <f aca="false">IF(I1055=0,0,H1055/I1055-1)</f>
        <v>0.0146092037983931</v>
      </c>
      <c r="M1055" s="14" t="n">
        <v>1</v>
      </c>
      <c r="N1055" s="18" t="n">
        <v>0.012</v>
      </c>
    </row>
    <row r="1056" customFormat="false" ht="15" hidden="false" customHeight="false" outlineLevel="0" collapsed="false">
      <c r="A1056" s="12" t="s">
        <v>1115</v>
      </c>
      <c r="B1056" s="13" t="n">
        <v>45979</v>
      </c>
      <c r="C1056" s="12" t="str">
        <f aca="false">TEXT(B1056,"yyyy-mm")</f>
        <v>2025-11</v>
      </c>
      <c r="D1056" s="12" t="s">
        <v>53</v>
      </c>
      <c r="E1056" s="12" t="s">
        <v>54</v>
      </c>
      <c r="F1056" s="12" t="s">
        <v>55</v>
      </c>
      <c r="G1056" s="14" t="n">
        <v>600</v>
      </c>
      <c r="H1056" s="15" t="n">
        <v>14.54</v>
      </c>
      <c r="I1056" s="15" t="n">
        <v>13.84</v>
      </c>
      <c r="J1056" s="16" t="n">
        <f aca="false">G1056*H1056</f>
        <v>8724</v>
      </c>
      <c r="K1056" s="16" t="n">
        <f aca="false">(H1056-I1056)*G1056</f>
        <v>420</v>
      </c>
      <c r="L1056" s="17" t="n">
        <f aca="false">IF(I1056=0,0,H1056/I1056-1)</f>
        <v>0.0505780346820808</v>
      </c>
      <c r="M1056" s="14" t="n">
        <v>1</v>
      </c>
      <c r="N1056" s="18" t="n">
        <v>0.018</v>
      </c>
    </row>
    <row r="1057" customFormat="false" ht="15" hidden="false" customHeight="false" outlineLevel="0" collapsed="false">
      <c r="A1057" s="12" t="s">
        <v>1116</v>
      </c>
      <c r="B1057" s="13" t="n">
        <v>45979</v>
      </c>
      <c r="C1057" s="12" t="str">
        <f aca="false">TEXT(B1057,"yyyy-mm")</f>
        <v>2025-11</v>
      </c>
      <c r="D1057" s="12" t="s">
        <v>35</v>
      </c>
      <c r="E1057" s="12" t="s">
        <v>36</v>
      </c>
      <c r="F1057" s="12" t="s">
        <v>37</v>
      </c>
      <c r="G1057" s="14" t="n">
        <v>400</v>
      </c>
      <c r="H1057" s="15" t="n">
        <v>15.95</v>
      </c>
      <c r="I1057" s="15" t="n">
        <v>16.01</v>
      </c>
      <c r="J1057" s="16" t="n">
        <f aca="false">G1057*H1057</f>
        <v>6380</v>
      </c>
      <c r="K1057" s="16" t="n">
        <f aca="false">(H1057-I1057)*G1057</f>
        <v>-24.0000000000009</v>
      </c>
      <c r="L1057" s="17" t="n">
        <f aca="false">IF(I1057=0,0,H1057/I1057-1)</f>
        <v>-0.00374765771392893</v>
      </c>
      <c r="M1057" s="14" t="n">
        <v>1</v>
      </c>
      <c r="N1057" s="18" t="n">
        <v>0.024</v>
      </c>
    </row>
    <row r="1058" customFormat="false" ht="15" hidden="false" customHeight="false" outlineLevel="0" collapsed="false">
      <c r="A1058" s="12" t="s">
        <v>1117</v>
      </c>
      <c r="B1058" s="13" t="n">
        <v>45980</v>
      </c>
      <c r="C1058" s="12" t="str">
        <f aca="false">TEXT(B1058,"yyyy-mm")</f>
        <v>2025-11</v>
      </c>
      <c r="D1058" s="12" t="s">
        <v>111</v>
      </c>
      <c r="E1058" s="12" t="s">
        <v>76</v>
      </c>
      <c r="F1058" s="12" t="s">
        <v>77</v>
      </c>
      <c r="G1058" s="14" t="n">
        <v>200</v>
      </c>
      <c r="H1058" s="15" t="n">
        <v>16.94</v>
      </c>
      <c r="I1058" s="15" t="n">
        <v>16.92</v>
      </c>
      <c r="J1058" s="16" t="n">
        <f aca="false">G1058*H1058</f>
        <v>3388</v>
      </c>
      <c r="K1058" s="16" t="n">
        <f aca="false">(H1058-I1058)*G1058</f>
        <v>3.99999999999991</v>
      </c>
      <c r="L1058" s="17" t="n">
        <f aca="false">IF(I1058=0,0,H1058/I1058-1)</f>
        <v>0.00118203309692677</v>
      </c>
      <c r="M1058" s="14" t="n">
        <v>1</v>
      </c>
      <c r="N1058" s="18" t="n">
        <v>0.015</v>
      </c>
    </row>
    <row r="1059" customFormat="false" ht="15" hidden="false" customHeight="false" outlineLevel="0" collapsed="false">
      <c r="A1059" s="12" t="s">
        <v>1118</v>
      </c>
      <c r="B1059" s="13" t="n">
        <v>45980</v>
      </c>
      <c r="C1059" s="12" t="str">
        <f aca="false">TEXT(B1059,"yyyy-mm")</f>
        <v>2025-11</v>
      </c>
      <c r="D1059" s="12" t="s">
        <v>53</v>
      </c>
      <c r="E1059" s="12" t="s">
        <v>49</v>
      </c>
      <c r="F1059" s="12" t="s">
        <v>50</v>
      </c>
      <c r="G1059" s="14" t="n">
        <v>400</v>
      </c>
      <c r="H1059" s="15" t="n">
        <v>12.77</v>
      </c>
      <c r="I1059" s="15" t="n">
        <v>13.35</v>
      </c>
      <c r="J1059" s="16" t="n">
        <f aca="false">G1059*H1059</f>
        <v>5108</v>
      </c>
      <c r="K1059" s="16" t="n">
        <f aca="false">(H1059-I1059)*G1059</f>
        <v>-232</v>
      </c>
      <c r="L1059" s="17" t="n">
        <f aca="false">IF(I1059=0,0,H1059/I1059-1)</f>
        <v>-0.0434456928838951</v>
      </c>
      <c r="M1059" s="14" t="n">
        <v>0</v>
      </c>
      <c r="N1059" s="18" t="n">
        <v>0.017</v>
      </c>
    </row>
    <row r="1060" customFormat="false" ht="15" hidden="false" customHeight="false" outlineLevel="0" collapsed="false">
      <c r="A1060" s="12" t="s">
        <v>1119</v>
      </c>
      <c r="B1060" s="13" t="n">
        <v>45980</v>
      </c>
      <c r="C1060" s="12" t="str">
        <f aca="false">TEXT(B1060,"yyyy-mm")</f>
        <v>2025-11</v>
      </c>
      <c r="D1060" s="12" t="s">
        <v>75</v>
      </c>
      <c r="E1060" s="12" t="s">
        <v>40</v>
      </c>
      <c r="F1060" s="12" t="s">
        <v>41</v>
      </c>
      <c r="G1060" s="14" t="n">
        <v>2000</v>
      </c>
      <c r="H1060" s="15" t="n">
        <v>21.35</v>
      </c>
      <c r="I1060" s="15" t="n">
        <v>20.85</v>
      </c>
      <c r="J1060" s="16" t="n">
        <f aca="false">G1060*H1060</f>
        <v>42700</v>
      </c>
      <c r="K1060" s="16" t="n">
        <f aca="false">(H1060-I1060)*G1060</f>
        <v>1000</v>
      </c>
      <c r="L1060" s="17" t="n">
        <f aca="false">IF(I1060=0,0,H1060/I1060-1)</f>
        <v>0.0239808153477219</v>
      </c>
      <c r="M1060" s="14" t="n">
        <v>1</v>
      </c>
      <c r="N1060" s="18" t="n">
        <v>0.028</v>
      </c>
    </row>
    <row r="1061" customFormat="false" ht="15" hidden="false" customHeight="false" outlineLevel="0" collapsed="false">
      <c r="A1061" s="12" t="s">
        <v>1120</v>
      </c>
      <c r="B1061" s="13" t="n">
        <v>45981</v>
      </c>
      <c r="C1061" s="12" t="str">
        <f aca="false">TEXT(B1061,"yyyy-mm")</f>
        <v>2025-11</v>
      </c>
      <c r="D1061" s="12" t="s">
        <v>80</v>
      </c>
      <c r="E1061" s="12" t="s">
        <v>81</v>
      </c>
      <c r="F1061" s="12" t="s">
        <v>82</v>
      </c>
      <c r="G1061" s="14" t="n">
        <v>800</v>
      </c>
      <c r="H1061" s="15" t="n">
        <v>19.23</v>
      </c>
      <c r="I1061" s="15" t="n">
        <v>20.02</v>
      </c>
      <c r="J1061" s="16" t="n">
        <f aca="false">G1061*H1061</f>
        <v>15384</v>
      </c>
      <c r="K1061" s="16" t="n">
        <f aca="false">(H1061-I1061)*G1061</f>
        <v>-631.999999999999</v>
      </c>
      <c r="L1061" s="17" t="n">
        <f aca="false">IF(I1061=0,0,H1061/I1061-1)</f>
        <v>-0.0394605394605394</v>
      </c>
      <c r="M1061" s="14" t="n">
        <v>1</v>
      </c>
      <c r="N1061" s="18" t="n">
        <v>0.059</v>
      </c>
    </row>
    <row r="1062" customFormat="false" ht="15" hidden="false" customHeight="false" outlineLevel="0" collapsed="false">
      <c r="A1062" s="12" t="s">
        <v>1121</v>
      </c>
      <c r="B1062" s="13" t="n">
        <v>45982</v>
      </c>
      <c r="C1062" s="12" t="str">
        <f aca="false">TEXT(B1062,"yyyy-mm")</f>
        <v>2025-11</v>
      </c>
      <c r="D1062" s="12" t="s">
        <v>80</v>
      </c>
      <c r="E1062" s="12" t="s">
        <v>81</v>
      </c>
      <c r="F1062" s="12" t="s">
        <v>82</v>
      </c>
      <c r="G1062" s="14" t="n">
        <v>1000</v>
      </c>
      <c r="H1062" s="15" t="n">
        <v>19.45</v>
      </c>
      <c r="I1062" s="15" t="n">
        <v>20.52</v>
      </c>
      <c r="J1062" s="16" t="n">
        <f aca="false">G1062*H1062</f>
        <v>19450</v>
      </c>
      <c r="K1062" s="16" t="n">
        <f aca="false">(H1062-I1062)*G1062</f>
        <v>-1070</v>
      </c>
      <c r="L1062" s="17" t="n">
        <f aca="false">IF(I1062=0,0,H1062/I1062-1)</f>
        <v>-0.0521442495126706</v>
      </c>
      <c r="M1062" s="14" t="n">
        <v>1</v>
      </c>
      <c r="N1062" s="18" t="n">
        <v>0.043</v>
      </c>
    </row>
    <row r="1063" customFormat="false" ht="15" hidden="false" customHeight="false" outlineLevel="0" collapsed="false">
      <c r="A1063" s="12" t="s">
        <v>1122</v>
      </c>
      <c r="B1063" s="13" t="n">
        <v>45982</v>
      </c>
      <c r="C1063" s="12" t="str">
        <f aca="false">TEXT(B1063,"yyyy-mm")</f>
        <v>2025-11</v>
      </c>
      <c r="D1063" s="12" t="s">
        <v>35</v>
      </c>
      <c r="E1063" s="12" t="s">
        <v>43</v>
      </c>
      <c r="F1063" s="12" t="s">
        <v>44</v>
      </c>
      <c r="G1063" s="14" t="n">
        <v>1600</v>
      </c>
      <c r="H1063" s="15" t="n">
        <v>16.84</v>
      </c>
      <c r="I1063" s="15" t="n">
        <v>16.1</v>
      </c>
      <c r="J1063" s="16" t="n">
        <f aca="false">G1063*H1063</f>
        <v>26944</v>
      </c>
      <c r="K1063" s="16" t="n">
        <f aca="false">(H1063-I1063)*G1063</f>
        <v>1184</v>
      </c>
      <c r="L1063" s="17" t="n">
        <f aca="false">IF(I1063=0,0,H1063/I1063-1)</f>
        <v>0.0459627329192545</v>
      </c>
      <c r="M1063" s="14" t="n">
        <v>1</v>
      </c>
      <c r="N1063" s="18" t="n">
        <v>0.016</v>
      </c>
    </row>
    <row r="1064" customFormat="false" ht="15" hidden="false" customHeight="false" outlineLevel="0" collapsed="false">
      <c r="A1064" s="12" t="s">
        <v>1123</v>
      </c>
      <c r="B1064" s="13" t="n">
        <v>45982</v>
      </c>
      <c r="C1064" s="12" t="str">
        <f aca="false">TEXT(B1064,"yyyy-mm")</f>
        <v>2025-11</v>
      </c>
      <c r="D1064" s="12" t="s">
        <v>80</v>
      </c>
      <c r="E1064" s="12" t="s">
        <v>81</v>
      </c>
      <c r="F1064" s="12" t="s">
        <v>82</v>
      </c>
      <c r="G1064" s="14" t="n">
        <v>800</v>
      </c>
      <c r="H1064" s="15" t="n">
        <v>19.75</v>
      </c>
      <c r="I1064" s="15" t="n">
        <v>20.13</v>
      </c>
      <c r="J1064" s="16" t="n">
        <f aca="false">G1064*H1064</f>
        <v>15800</v>
      </c>
      <c r="K1064" s="16" t="n">
        <f aca="false">(H1064-I1064)*G1064</f>
        <v>-303.999999999999</v>
      </c>
      <c r="L1064" s="17" t="n">
        <f aca="false">IF(I1064=0,0,H1064/I1064-1)</f>
        <v>-0.0188772975658221</v>
      </c>
      <c r="M1064" s="14" t="n">
        <v>1</v>
      </c>
      <c r="N1064" s="18" t="n">
        <v>0.011</v>
      </c>
    </row>
    <row r="1065" customFormat="false" ht="15" hidden="false" customHeight="false" outlineLevel="0" collapsed="false">
      <c r="A1065" s="12" t="s">
        <v>1124</v>
      </c>
      <c r="B1065" s="13" t="n">
        <v>45983</v>
      </c>
      <c r="C1065" s="12" t="str">
        <f aca="false">TEXT(B1065,"yyyy-mm")</f>
        <v>2025-11</v>
      </c>
      <c r="D1065" s="12" t="s">
        <v>80</v>
      </c>
      <c r="E1065" s="12" t="s">
        <v>81</v>
      </c>
      <c r="F1065" s="12" t="s">
        <v>82</v>
      </c>
      <c r="G1065" s="14" t="n">
        <v>1000</v>
      </c>
      <c r="H1065" s="15" t="n">
        <v>20.09</v>
      </c>
      <c r="I1065" s="15" t="n">
        <v>20.97</v>
      </c>
      <c r="J1065" s="16" t="n">
        <f aca="false">G1065*H1065</f>
        <v>20090</v>
      </c>
      <c r="K1065" s="16" t="n">
        <f aca="false">(H1065-I1065)*G1065</f>
        <v>-879.999999999999</v>
      </c>
      <c r="L1065" s="17" t="n">
        <f aca="false">IF(I1065=0,0,H1065/I1065-1)</f>
        <v>-0.0419647114926085</v>
      </c>
      <c r="M1065" s="14" t="n">
        <v>1</v>
      </c>
      <c r="N1065" s="18" t="n">
        <v>0.026</v>
      </c>
    </row>
    <row r="1066" customFormat="false" ht="15" hidden="false" customHeight="false" outlineLevel="0" collapsed="false">
      <c r="A1066" s="12" t="s">
        <v>1125</v>
      </c>
      <c r="B1066" s="13" t="n">
        <v>45983</v>
      </c>
      <c r="C1066" s="12" t="str">
        <f aca="false">TEXT(B1066,"yyyy-mm")</f>
        <v>2025-11</v>
      </c>
      <c r="D1066" s="12" t="s">
        <v>39</v>
      </c>
      <c r="E1066" s="12" t="s">
        <v>46</v>
      </c>
      <c r="F1066" s="12" t="s">
        <v>47</v>
      </c>
      <c r="G1066" s="14" t="n">
        <v>1000</v>
      </c>
      <c r="H1066" s="15" t="n">
        <v>17.96</v>
      </c>
      <c r="I1066" s="15" t="n">
        <v>17.1</v>
      </c>
      <c r="J1066" s="16" t="n">
        <f aca="false">G1066*H1066</f>
        <v>17960</v>
      </c>
      <c r="K1066" s="16" t="n">
        <f aca="false">(H1066-I1066)*G1066</f>
        <v>859.999999999999</v>
      </c>
      <c r="L1066" s="17" t="n">
        <f aca="false">IF(I1066=0,0,H1066/I1066-1)</f>
        <v>0.0502923976608187</v>
      </c>
      <c r="M1066" s="14" t="n">
        <v>1</v>
      </c>
      <c r="N1066" s="18" t="n">
        <v>0.007</v>
      </c>
    </row>
    <row r="1067" customFormat="false" ht="15" hidden="false" customHeight="false" outlineLevel="0" collapsed="false">
      <c r="A1067" s="12" t="s">
        <v>1126</v>
      </c>
      <c r="B1067" s="13" t="n">
        <v>45983</v>
      </c>
      <c r="C1067" s="12" t="str">
        <f aca="false">TEXT(B1067,"yyyy-mm")</f>
        <v>2025-11</v>
      </c>
      <c r="D1067" s="12" t="s">
        <v>61</v>
      </c>
      <c r="E1067" s="12" t="s">
        <v>43</v>
      </c>
      <c r="F1067" s="12" t="s">
        <v>44</v>
      </c>
      <c r="G1067" s="14" t="n">
        <v>200</v>
      </c>
      <c r="H1067" s="15" t="n">
        <v>13.89</v>
      </c>
      <c r="I1067" s="15" t="n">
        <v>13.88</v>
      </c>
      <c r="J1067" s="16" t="n">
        <f aca="false">G1067*H1067</f>
        <v>2778</v>
      </c>
      <c r="K1067" s="16" t="n">
        <f aca="false">(H1067-I1067)*G1067</f>
        <v>1.99999999999996</v>
      </c>
      <c r="L1067" s="17" t="n">
        <f aca="false">IF(I1067=0,0,H1067/I1067-1)</f>
        <v>0.000720461095100822</v>
      </c>
      <c r="M1067" s="14" t="n">
        <v>1</v>
      </c>
      <c r="N1067" s="18" t="n">
        <v>0.013</v>
      </c>
    </row>
    <row r="1068" customFormat="false" ht="15" hidden="false" customHeight="false" outlineLevel="0" collapsed="false">
      <c r="A1068" s="12" t="s">
        <v>1127</v>
      </c>
      <c r="B1068" s="13" t="n">
        <v>45983</v>
      </c>
      <c r="C1068" s="12" t="str">
        <f aca="false">TEXT(B1068,"yyyy-mm")</f>
        <v>2025-11</v>
      </c>
      <c r="D1068" s="12" t="s">
        <v>75</v>
      </c>
      <c r="E1068" s="12" t="s">
        <v>40</v>
      </c>
      <c r="F1068" s="12" t="s">
        <v>41</v>
      </c>
      <c r="G1068" s="14" t="n">
        <v>200</v>
      </c>
      <c r="H1068" s="15" t="n">
        <v>21.06</v>
      </c>
      <c r="I1068" s="15" t="n">
        <v>20.86</v>
      </c>
      <c r="J1068" s="16" t="n">
        <f aca="false">G1068*H1068</f>
        <v>4212</v>
      </c>
      <c r="K1068" s="16" t="n">
        <f aca="false">(H1068-I1068)*G1068</f>
        <v>39.9999999999999</v>
      </c>
      <c r="L1068" s="17" t="n">
        <f aca="false">IF(I1068=0,0,H1068/I1068-1)</f>
        <v>0.009587727708533</v>
      </c>
      <c r="M1068" s="14" t="n">
        <v>1</v>
      </c>
      <c r="N1068" s="18" t="n">
        <v>0.017</v>
      </c>
    </row>
    <row r="1069" customFormat="false" ht="15" hidden="false" customHeight="false" outlineLevel="0" collapsed="false">
      <c r="A1069" s="12" t="s">
        <v>1128</v>
      </c>
      <c r="B1069" s="13" t="n">
        <v>45983</v>
      </c>
      <c r="C1069" s="12" t="str">
        <f aca="false">TEXT(B1069,"yyyy-mm")</f>
        <v>2025-11</v>
      </c>
      <c r="D1069" s="12" t="s">
        <v>61</v>
      </c>
      <c r="E1069" s="12" t="s">
        <v>36</v>
      </c>
      <c r="F1069" s="12" t="s">
        <v>37</v>
      </c>
      <c r="G1069" s="14" t="n">
        <v>800</v>
      </c>
      <c r="H1069" s="15" t="n">
        <v>13.18</v>
      </c>
      <c r="I1069" s="15" t="n">
        <v>13.45</v>
      </c>
      <c r="J1069" s="16" t="n">
        <f aca="false">G1069*H1069</f>
        <v>10544</v>
      </c>
      <c r="K1069" s="16" t="n">
        <f aca="false">(H1069-I1069)*G1069</f>
        <v>-216</v>
      </c>
      <c r="L1069" s="17" t="n">
        <f aca="false">IF(I1069=0,0,H1069/I1069-1)</f>
        <v>-0.0200743494423792</v>
      </c>
      <c r="M1069" s="14" t="n">
        <v>0</v>
      </c>
      <c r="N1069" s="18" t="n">
        <v>0.022</v>
      </c>
    </row>
    <row r="1070" customFormat="false" ht="15" hidden="false" customHeight="false" outlineLevel="0" collapsed="false">
      <c r="A1070" s="12" t="s">
        <v>1129</v>
      </c>
      <c r="B1070" s="13" t="n">
        <v>45983</v>
      </c>
      <c r="C1070" s="12" t="str">
        <f aca="false">TEXT(B1070,"yyyy-mm")</f>
        <v>2025-11</v>
      </c>
      <c r="D1070" s="12" t="s">
        <v>39</v>
      </c>
      <c r="E1070" s="12" t="s">
        <v>46</v>
      </c>
      <c r="F1070" s="12" t="s">
        <v>47</v>
      </c>
      <c r="G1070" s="14" t="n">
        <v>400</v>
      </c>
      <c r="H1070" s="15" t="n">
        <v>17.89</v>
      </c>
      <c r="I1070" s="15" t="n">
        <v>17.05</v>
      </c>
      <c r="J1070" s="16" t="n">
        <f aca="false">G1070*H1070</f>
        <v>7156</v>
      </c>
      <c r="K1070" s="16" t="n">
        <f aca="false">(H1070-I1070)*G1070</f>
        <v>336</v>
      </c>
      <c r="L1070" s="17" t="n">
        <f aca="false">IF(I1070=0,0,H1070/I1070-1)</f>
        <v>0.049266862170088</v>
      </c>
      <c r="M1070" s="14" t="n">
        <v>1</v>
      </c>
      <c r="N1070" s="18" t="n">
        <v>0.005</v>
      </c>
    </row>
    <row r="1071" customFormat="false" ht="15" hidden="false" customHeight="false" outlineLevel="0" collapsed="false">
      <c r="A1071" s="12" t="s">
        <v>1130</v>
      </c>
      <c r="B1071" s="13" t="n">
        <v>45984</v>
      </c>
      <c r="C1071" s="12" t="str">
        <f aca="false">TEXT(B1071,"yyyy-mm")</f>
        <v>2025-11</v>
      </c>
      <c r="D1071" s="12" t="s">
        <v>35</v>
      </c>
      <c r="E1071" s="12" t="s">
        <v>43</v>
      </c>
      <c r="F1071" s="12" t="s">
        <v>44</v>
      </c>
      <c r="G1071" s="14" t="n">
        <v>400</v>
      </c>
      <c r="H1071" s="15" t="n">
        <v>15.9</v>
      </c>
      <c r="I1071" s="15" t="n">
        <v>15.62</v>
      </c>
      <c r="J1071" s="16" t="n">
        <f aca="false">G1071*H1071</f>
        <v>6360</v>
      </c>
      <c r="K1071" s="16" t="n">
        <f aca="false">(H1071-I1071)*G1071</f>
        <v>112</v>
      </c>
      <c r="L1071" s="17" t="n">
        <f aca="false">IF(I1071=0,0,H1071/I1071-1)</f>
        <v>0.0179257362355956</v>
      </c>
      <c r="M1071" s="14" t="n">
        <v>1</v>
      </c>
      <c r="N1071" s="18" t="n">
        <v>0.012</v>
      </c>
    </row>
    <row r="1072" customFormat="false" ht="15" hidden="false" customHeight="false" outlineLevel="0" collapsed="false">
      <c r="A1072" s="12" t="s">
        <v>1131</v>
      </c>
      <c r="B1072" s="13" t="n">
        <v>45984</v>
      </c>
      <c r="C1072" s="12" t="str">
        <f aca="false">TEXT(B1072,"yyyy-mm")</f>
        <v>2025-11</v>
      </c>
      <c r="D1072" s="12" t="s">
        <v>39</v>
      </c>
      <c r="E1072" s="12" t="s">
        <v>40</v>
      </c>
      <c r="F1072" s="12" t="s">
        <v>41</v>
      </c>
      <c r="G1072" s="14" t="n">
        <v>2000</v>
      </c>
      <c r="H1072" s="15" t="n">
        <v>17.92</v>
      </c>
      <c r="I1072" s="15" t="n">
        <v>17.18</v>
      </c>
      <c r="J1072" s="16" t="n">
        <f aca="false">G1072*H1072</f>
        <v>35840</v>
      </c>
      <c r="K1072" s="16" t="n">
        <f aca="false">(H1072-I1072)*G1072</f>
        <v>1480</v>
      </c>
      <c r="L1072" s="17" t="n">
        <f aca="false">IF(I1072=0,0,H1072/I1072-1)</f>
        <v>0.0430733410942958</v>
      </c>
      <c r="M1072" s="14" t="n">
        <v>1</v>
      </c>
      <c r="N1072" s="18" t="n">
        <v>0.011</v>
      </c>
    </row>
    <row r="1073" customFormat="false" ht="15" hidden="false" customHeight="false" outlineLevel="0" collapsed="false">
      <c r="A1073" s="12" t="s">
        <v>1132</v>
      </c>
      <c r="B1073" s="13" t="n">
        <v>45985</v>
      </c>
      <c r="C1073" s="12" t="str">
        <f aca="false">TEXT(B1073,"yyyy-mm")</f>
        <v>2025-11</v>
      </c>
      <c r="D1073" s="12" t="s">
        <v>53</v>
      </c>
      <c r="E1073" s="12" t="s">
        <v>54</v>
      </c>
      <c r="F1073" s="12" t="s">
        <v>55</v>
      </c>
      <c r="G1073" s="14" t="n">
        <v>1000</v>
      </c>
      <c r="H1073" s="15" t="n">
        <v>13.86</v>
      </c>
      <c r="I1073" s="15" t="n">
        <v>13.89</v>
      </c>
      <c r="J1073" s="16" t="n">
        <f aca="false">G1073*H1073</f>
        <v>13860</v>
      </c>
      <c r="K1073" s="16" t="n">
        <f aca="false">(H1073-I1073)*G1073</f>
        <v>-30.0000000000011</v>
      </c>
      <c r="L1073" s="17" t="n">
        <f aca="false">IF(I1073=0,0,H1073/I1073-1)</f>
        <v>-0.00215982721382302</v>
      </c>
      <c r="M1073" s="14" t="n">
        <v>1</v>
      </c>
      <c r="N1073" s="18" t="n">
        <v>0.019</v>
      </c>
    </row>
    <row r="1074" customFormat="false" ht="15" hidden="false" customHeight="false" outlineLevel="0" collapsed="false">
      <c r="A1074" s="12" t="s">
        <v>1133</v>
      </c>
      <c r="B1074" s="13" t="n">
        <v>45985</v>
      </c>
      <c r="C1074" s="12" t="str">
        <f aca="false">TEXT(B1074,"yyyy-mm")</f>
        <v>2025-11</v>
      </c>
      <c r="D1074" s="12" t="s">
        <v>61</v>
      </c>
      <c r="E1074" s="12" t="s">
        <v>43</v>
      </c>
      <c r="F1074" s="12" t="s">
        <v>44</v>
      </c>
      <c r="G1074" s="14" t="n">
        <v>200</v>
      </c>
      <c r="H1074" s="15" t="n">
        <v>13.76</v>
      </c>
      <c r="I1074" s="15" t="n">
        <v>13.76</v>
      </c>
      <c r="J1074" s="16" t="n">
        <f aca="false">G1074*H1074</f>
        <v>2752</v>
      </c>
      <c r="K1074" s="16" t="n">
        <f aca="false">(H1074-I1074)*G1074</f>
        <v>0</v>
      </c>
      <c r="L1074" s="17" t="n">
        <f aca="false">IF(I1074=0,0,H1074/I1074-1)</f>
        <v>0</v>
      </c>
      <c r="M1074" s="14" t="n">
        <v>1</v>
      </c>
      <c r="N1074" s="18" t="n">
        <v>0.014</v>
      </c>
    </row>
    <row r="1075" customFormat="false" ht="15" hidden="false" customHeight="false" outlineLevel="0" collapsed="false">
      <c r="A1075" s="12" t="s">
        <v>1134</v>
      </c>
      <c r="B1075" s="13" t="n">
        <v>45985</v>
      </c>
      <c r="C1075" s="12" t="str">
        <f aca="false">TEXT(B1075,"yyyy-mm")</f>
        <v>2025-11</v>
      </c>
      <c r="D1075" s="12" t="s">
        <v>39</v>
      </c>
      <c r="E1075" s="12" t="s">
        <v>46</v>
      </c>
      <c r="F1075" s="12" t="s">
        <v>47</v>
      </c>
      <c r="G1075" s="14" t="n">
        <v>1600</v>
      </c>
      <c r="H1075" s="15" t="n">
        <v>18.39</v>
      </c>
      <c r="I1075" s="15" t="n">
        <v>17.36</v>
      </c>
      <c r="J1075" s="16" t="n">
        <f aca="false">G1075*H1075</f>
        <v>29424</v>
      </c>
      <c r="K1075" s="16" t="n">
        <f aca="false">(H1075-I1075)*G1075</f>
        <v>1648</v>
      </c>
      <c r="L1075" s="17" t="n">
        <f aca="false">IF(I1075=0,0,H1075/I1075-1)</f>
        <v>0.0593317972350231</v>
      </c>
      <c r="M1075" s="14" t="n">
        <v>1</v>
      </c>
      <c r="N1075" s="18" t="n">
        <v>0.004</v>
      </c>
    </row>
    <row r="1076" customFormat="false" ht="15" hidden="false" customHeight="false" outlineLevel="0" collapsed="false">
      <c r="A1076" s="12" t="s">
        <v>1135</v>
      </c>
      <c r="B1076" s="13" t="n">
        <v>45986</v>
      </c>
      <c r="C1076" s="12" t="str">
        <f aca="false">TEXT(B1076,"yyyy-mm")</f>
        <v>2025-11</v>
      </c>
      <c r="D1076" s="12" t="s">
        <v>35</v>
      </c>
      <c r="E1076" s="12" t="s">
        <v>36</v>
      </c>
      <c r="F1076" s="12" t="s">
        <v>37</v>
      </c>
      <c r="G1076" s="14" t="n">
        <v>3200</v>
      </c>
      <c r="H1076" s="15" t="n">
        <v>15.85</v>
      </c>
      <c r="I1076" s="15" t="n">
        <v>15.48</v>
      </c>
      <c r="J1076" s="16" t="n">
        <f aca="false">G1076*H1076</f>
        <v>50720</v>
      </c>
      <c r="K1076" s="16" t="n">
        <f aca="false">(H1076-I1076)*G1076</f>
        <v>1184</v>
      </c>
      <c r="L1076" s="17" t="n">
        <f aca="false">IF(I1076=0,0,H1076/I1076-1)</f>
        <v>0.0239018087855296</v>
      </c>
      <c r="M1076" s="14" t="n">
        <v>1</v>
      </c>
      <c r="N1076" s="18" t="n">
        <v>0.015</v>
      </c>
    </row>
    <row r="1077" customFormat="false" ht="15" hidden="false" customHeight="false" outlineLevel="0" collapsed="false">
      <c r="A1077" s="12" t="s">
        <v>1136</v>
      </c>
      <c r="B1077" s="13" t="n">
        <v>45986</v>
      </c>
      <c r="C1077" s="12" t="str">
        <f aca="false">TEXT(B1077,"yyyy-mm")</f>
        <v>2025-11</v>
      </c>
      <c r="D1077" s="12" t="s">
        <v>61</v>
      </c>
      <c r="E1077" s="12" t="s">
        <v>43</v>
      </c>
      <c r="F1077" s="12" t="s">
        <v>44</v>
      </c>
      <c r="G1077" s="14" t="n">
        <v>1200</v>
      </c>
      <c r="H1077" s="15" t="n">
        <v>14.82</v>
      </c>
      <c r="I1077" s="15" t="n">
        <v>14.1</v>
      </c>
      <c r="J1077" s="16" t="n">
        <f aca="false">G1077*H1077</f>
        <v>17784</v>
      </c>
      <c r="K1077" s="16" t="n">
        <f aca="false">(H1077-I1077)*G1077</f>
        <v>864.000000000001</v>
      </c>
      <c r="L1077" s="17" t="n">
        <f aca="false">IF(I1077=0,0,H1077/I1077-1)</f>
        <v>0.0510638297872341</v>
      </c>
      <c r="M1077" s="14" t="n">
        <v>1</v>
      </c>
      <c r="N1077" s="18" t="n">
        <v>0.013</v>
      </c>
    </row>
    <row r="1078" customFormat="false" ht="15" hidden="false" customHeight="false" outlineLevel="0" collapsed="false">
      <c r="A1078" s="12" t="s">
        <v>1137</v>
      </c>
      <c r="B1078" s="13" t="n">
        <v>45987</v>
      </c>
      <c r="C1078" s="12" t="str">
        <f aca="false">TEXT(B1078,"yyyy-mm")</f>
        <v>2025-11</v>
      </c>
      <c r="D1078" s="12" t="s">
        <v>80</v>
      </c>
      <c r="E1078" s="12" t="s">
        <v>92</v>
      </c>
      <c r="F1078" s="12" t="s">
        <v>93</v>
      </c>
      <c r="G1078" s="14" t="n">
        <v>600</v>
      </c>
      <c r="H1078" s="15" t="n">
        <v>19</v>
      </c>
      <c r="I1078" s="15" t="n">
        <v>20.63</v>
      </c>
      <c r="J1078" s="16" t="n">
        <f aca="false">G1078*H1078</f>
        <v>11400</v>
      </c>
      <c r="K1078" s="16" t="n">
        <f aca="false">(H1078-I1078)*G1078</f>
        <v>-977.999999999999</v>
      </c>
      <c r="L1078" s="17" t="n">
        <f aca="false">IF(I1078=0,0,H1078/I1078-1)</f>
        <v>-0.0790111488124091</v>
      </c>
      <c r="M1078" s="14" t="n">
        <v>1</v>
      </c>
      <c r="N1078" s="18" t="n">
        <v>0.007</v>
      </c>
    </row>
    <row r="1079" customFormat="false" ht="15" hidden="false" customHeight="false" outlineLevel="0" collapsed="false">
      <c r="A1079" s="12" t="s">
        <v>1138</v>
      </c>
      <c r="B1079" s="13" t="n">
        <v>45987</v>
      </c>
      <c r="C1079" s="12" t="str">
        <f aca="false">TEXT(B1079,"yyyy-mm")</f>
        <v>2025-11</v>
      </c>
      <c r="D1079" s="12" t="s">
        <v>53</v>
      </c>
      <c r="E1079" s="12" t="s">
        <v>54</v>
      </c>
      <c r="F1079" s="12" t="s">
        <v>55</v>
      </c>
      <c r="G1079" s="14" t="n">
        <v>800</v>
      </c>
      <c r="H1079" s="15" t="n">
        <v>13.83</v>
      </c>
      <c r="I1079" s="15" t="n">
        <v>13.28</v>
      </c>
      <c r="J1079" s="16" t="n">
        <f aca="false">G1079*H1079</f>
        <v>11064</v>
      </c>
      <c r="K1079" s="16" t="n">
        <f aca="false">(H1079-I1079)*G1079</f>
        <v>440.000000000001</v>
      </c>
      <c r="L1079" s="17" t="n">
        <f aca="false">IF(I1079=0,0,H1079/I1079-1)</f>
        <v>0.0414156626506024</v>
      </c>
      <c r="M1079" s="14" t="n">
        <v>1</v>
      </c>
      <c r="N1079" s="18" t="n">
        <v>0.022</v>
      </c>
    </row>
    <row r="1080" customFormat="false" ht="15" hidden="false" customHeight="false" outlineLevel="0" collapsed="false">
      <c r="A1080" s="12" t="s">
        <v>1139</v>
      </c>
      <c r="B1080" s="13" t="n">
        <v>45987</v>
      </c>
      <c r="C1080" s="12" t="str">
        <f aca="false">TEXT(B1080,"yyyy-mm")</f>
        <v>2025-11</v>
      </c>
      <c r="D1080" s="12" t="s">
        <v>61</v>
      </c>
      <c r="E1080" s="12" t="s">
        <v>36</v>
      </c>
      <c r="F1080" s="12" t="s">
        <v>37</v>
      </c>
      <c r="G1080" s="14" t="n">
        <v>2000</v>
      </c>
      <c r="H1080" s="15" t="n">
        <v>13.87</v>
      </c>
      <c r="I1080" s="15" t="n">
        <v>13.58</v>
      </c>
      <c r="J1080" s="16" t="n">
        <f aca="false">G1080*H1080</f>
        <v>27740</v>
      </c>
      <c r="K1080" s="16" t="n">
        <f aca="false">(H1080-I1080)*G1080</f>
        <v>579.999999999998</v>
      </c>
      <c r="L1080" s="17" t="n">
        <f aca="false">IF(I1080=0,0,H1080/I1080-1)</f>
        <v>0.0213549337260677</v>
      </c>
      <c r="M1080" s="14" t="n">
        <v>1</v>
      </c>
      <c r="N1080" s="18" t="n">
        <v>0.022</v>
      </c>
    </row>
    <row r="1081" customFormat="false" ht="15" hidden="false" customHeight="false" outlineLevel="0" collapsed="false">
      <c r="A1081" s="12" t="s">
        <v>1140</v>
      </c>
      <c r="B1081" s="13" t="n">
        <v>45987</v>
      </c>
      <c r="C1081" s="12" t="str">
        <f aca="false">TEXT(B1081,"yyyy-mm")</f>
        <v>2025-11</v>
      </c>
      <c r="D1081" s="12" t="s">
        <v>61</v>
      </c>
      <c r="E1081" s="12" t="s">
        <v>43</v>
      </c>
      <c r="F1081" s="12" t="s">
        <v>44</v>
      </c>
      <c r="G1081" s="14" t="n">
        <v>1000</v>
      </c>
      <c r="H1081" s="15" t="n">
        <v>13.89</v>
      </c>
      <c r="I1081" s="15" t="n">
        <v>13.54</v>
      </c>
      <c r="J1081" s="16" t="n">
        <f aca="false">G1081*H1081</f>
        <v>13890</v>
      </c>
      <c r="K1081" s="16" t="n">
        <f aca="false">(H1081-I1081)*G1081</f>
        <v>350.000000000001</v>
      </c>
      <c r="L1081" s="17" t="n">
        <f aca="false">IF(I1081=0,0,H1081/I1081-1)</f>
        <v>0.0258493353028066</v>
      </c>
      <c r="M1081" s="14" t="n">
        <v>1</v>
      </c>
      <c r="N1081" s="18" t="n">
        <v>0.013</v>
      </c>
    </row>
    <row r="1082" customFormat="false" ht="15" hidden="false" customHeight="false" outlineLevel="0" collapsed="false">
      <c r="A1082" s="12" t="s">
        <v>1141</v>
      </c>
      <c r="B1082" s="13" t="n">
        <v>45987</v>
      </c>
      <c r="C1082" s="12" t="str">
        <f aca="false">TEXT(B1082,"yyyy-mm")</f>
        <v>2025-11</v>
      </c>
      <c r="D1082" s="12" t="s">
        <v>80</v>
      </c>
      <c r="E1082" s="12" t="s">
        <v>81</v>
      </c>
      <c r="F1082" s="12" t="s">
        <v>82</v>
      </c>
      <c r="G1082" s="14" t="n">
        <v>800</v>
      </c>
      <c r="H1082" s="15" t="n">
        <v>20.75</v>
      </c>
      <c r="I1082" s="15" t="n">
        <v>20.79</v>
      </c>
      <c r="J1082" s="16" t="n">
        <f aca="false">G1082*H1082</f>
        <v>16600</v>
      </c>
      <c r="K1082" s="16" t="n">
        <f aca="false">(H1082-I1082)*G1082</f>
        <v>-31.9999999999993</v>
      </c>
      <c r="L1082" s="17" t="n">
        <f aca="false">IF(I1082=0,0,H1082/I1082-1)</f>
        <v>-0.00192400192400188</v>
      </c>
      <c r="M1082" s="14" t="n">
        <v>1</v>
      </c>
      <c r="N1082" s="18" t="n">
        <v>0.035</v>
      </c>
    </row>
    <row r="1083" customFormat="false" ht="15" hidden="false" customHeight="false" outlineLevel="0" collapsed="false">
      <c r="A1083" s="12" t="s">
        <v>1142</v>
      </c>
      <c r="B1083" s="13" t="n">
        <v>45987</v>
      </c>
      <c r="C1083" s="12" t="str">
        <f aca="false">TEXT(B1083,"yyyy-mm")</f>
        <v>2025-11</v>
      </c>
      <c r="D1083" s="12" t="s">
        <v>58</v>
      </c>
      <c r="E1083" s="12" t="s">
        <v>40</v>
      </c>
      <c r="F1083" s="12" t="s">
        <v>41</v>
      </c>
      <c r="G1083" s="14" t="n">
        <v>1000</v>
      </c>
      <c r="H1083" s="15" t="n">
        <v>24.73</v>
      </c>
      <c r="I1083" s="15" t="n">
        <v>24.67</v>
      </c>
      <c r="J1083" s="16" t="n">
        <f aca="false">G1083*H1083</f>
        <v>24730</v>
      </c>
      <c r="K1083" s="16" t="n">
        <f aca="false">(H1083-I1083)*G1083</f>
        <v>59.9999999999987</v>
      </c>
      <c r="L1083" s="17" t="n">
        <f aca="false">IF(I1083=0,0,H1083/I1083-1)</f>
        <v>0.00243210376976077</v>
      </c>
      <c r="M1083" s="14" t="n">
        <v>1</v>
      </c>
      <c r="N1083" s="18" t="n">
        <v>0.016</v>
      </c>
    </row>
    <row r="1084" customFormat="false" ht="15" hidden="false" customHeight="false" outlineLevel="0" collapsed="false">
      <c r="A1084" s="12" t="s">
        <v>1143</v>
      </c>
      <c r="B1084" s="13" t="n">
        <v>45988</v>
      </c>
      <c r="C1084" s="12" t="str">
        <f aca="false">TEXT(B1084,"yyyy-mm")</f>
        <v>2025-11</v>
      </c>
      <c r="D1084" s="12" t="s">
        <v>61</v>
      </c>
      <c r="E1084" s="12" t="s">
        <v>36</v>
      </c>
      <c r="F1084" s="12" t="s">
        <v>37</v>
      </c>
      <c r="G1084" s="14" t="n">
        <v>800</v>
      </c>
      <c r="H1084" s="15" t="n">
        <v>13.72</v>
      </c>
      <c r="I1084" s="15" t="n">
        <v>14.04</v>
      </c>
      <c r="J1084" s="16" t="n">
        <f aca="false">G1084*H1084</f>
        <v>10976</v>
      </c>
      <c r="K1084" s="16" t="n">
        <f aca="false">(H1084-I1084)*G1084</f>
        <v>-255.999999999999</v>
      </c>
      <c r="L1084" s="17" t="n">
        <f aca="false">IF(I1084=0,0,H1084/I1084-1)</f>
        <v>-0.0227920227920226</v>
      </c>
      <c r="M1084" s="14" t="n">
        <v>1</v>
      </c>
      <c r="N1084" s="18" t="n">
        <v>0.017</v>
      </c>
    </row>
    <row r="1085" customFormat="false" ht="15" hidden="false" customHeight="false" outlineLevel="0" collapsed="false">
      <c r="A1085" s="12" t="s">
        <v>1144</v>
      </c>
      <c r="B1085" s="13" t="n">
        <v>45988</v>
      </c>
      <c r="C1085" s="12" t="str">
        <f aca="false">TEXT(B1085,"yyyy-mm")</f>
        <v>2025-11</v>
      </c>
      <c r="D1085" s="12" t="s">
        <v>75</v>
      </c>
      <c r="E1085" s="12" t="s">
        <v>40</v>
      </c>
      <c r="F1085" s="12" t="s">
        <v>41</v>
      </c>
      <c r="G1085" s="14" t="n">
        <v>400</v>
      </c>
      <c r="H1085" s="15" t="n">
        <v>21.22</v>
      </c>
      <c r="I1085" s="15" t="n">
        <v>20.59</v>
      </c>
      <c r="J1085" s="16" t="n">
        <f aca="false">G1085*H1085</f>
        <v>8488</v>
      </c>
      <c r="K1085" s="16" t="n">
        <f aca="false">(H1085-I1085)*G1085</f>
        <v>252</v>
      </c>
      <c r="L1085" s="17" t="n">
        <f aca="false">IF(I1085=0,0,H1085/I1085-1)</f>
        <v>0.0305973773676542</v>
      </c>
      <c r="M1085" s="14" t="n">
        <v>1</v>
      </c>
      <c r="N1085" s="18" t="n">
        <v>0.012</v>
      </c>
    </row>
    <row r="1086" customFormat="false" ht="15" hidden="false" customHeight="false" outlineLevel="0" collapsed="false">
      <c r="A1086" s="12" t="s">
        <v>1145</v>
      </c>
      <c r="B1086" s="13" t="n">
        <v>45988</v>
      </c>
      <c r="C1086" s="12" t="str">
        <f aca="false">TEXT(B1086,"yyyy-mm")</f>
        <v>2025-11</v>
      </c>
      <c r="D1086" s="12" t="s">
        <v>53</v>
      </c>
      <c r="E1086" s="12" t="s">
        <v>54</v>
      </c>
      <c r="F1086" s="12" t="s">
        <v>55</v>
      </c>
      <c r="G1086" s="14" t="n">
        <v>200</v>
      </c>
      <c r="H1086" s="15" t="n">
        <v>13.93</v>
      </c>
      <c r="I1086" s="15" t="n">
        <v>13.25</v>
      </c>
      <c r="J1086" s="16" t="n">
        <f aca="false">G1086*H1086</f>
        <v>2786</v>
      </c>
      <c r="K1086" s="16" t="n">
        <f aca="false">(H1086-I1086)*G1086</f>
        <v>136</v>
      </c>
      <c r="L1086" s="17" t="n">
        <f aca="false">IF(I1086=0,0,H1086/I1086-1)</f>
        <v>0.0513207547169812</v>
      </c>
      <c r="M1086" s="14" t="n">
        <v>1</v>
      </c>
      <c r="N1086" s="18" t="n">
        <v>0.018</v>
      </c>
    </row>
    <row r="1087" customFormat="false" ht="15" hidden="false" customHeight="false" outlineLevel="0" collapsed="false">
      <c r="A1087" s="12" t="s">
        <v>1146</v>
      </c>
      <c r="B1087" s="13" t="n">
        <v>45988</v>
      </c>
      <c r="C1087" s="12" t="str">
        <f aca="false">TEXT(B1087,"yyyy-mm")</f>
        <v>2025-11</v>
      </c>
      <c r="D1087" s="12" t="s">
        <v>53</v>
      </c>
      <c r="E1087" s="12" t="s">
        <v>54</v>
      </c>
      <c r="F1087" s="12" t="s">
        <v>55</v>
      </c>
      <c r="G1087" s="14" t="n">
        <v>200</v>
      </c>
      <c r="H1087" s="15" t="n">
        <v>13.7</v>
      </c>
      <c r="I1087" s="15" t="n">
        <v>13.84</v>
      </c>
      <c r="J1087" s="16" t="n">
        <f aca="false">G1087*H1087</f>
        <v>2740</v>
      </c>
      <c r="K1087" s="16" t="n">
        <f aca="false">(H1087-I1087)*G1087</f>
        <v>-28.0000000000001</v>
      </c>
      <c r="L1087" s="17" t="n">
        <f aca="false">IF(I1087=0,0,H1087/I1087-1)</f>
        <v>-0.0101156069364162</v>
      </c>
      <c r="M1087" s="14" t="n">
        <v>1</v>
      </c>
      <c r="N1087" s="18" t="n">
        <v>0.015</v>
      </c>
    </row>
    <row r="1088" customFormat="false" ht="15" hidden="false" customHeight="false" outlineLevel="0" collapsed="false">
      <c r="A1088" s="12" t="s">
        <v>1147</v>
      </c>
      <c r="B1088" s="13" t="n">
        <v>45989</v>
      </c>
      <c r="C1088" s="12" t="str">
        <f aca="false">TEXT(B1088,"yyyy-mm")</f>
        <v>2025-11</v>
      </c>
      <c r="D1088" s="12" t="s">
        <v>53</v>
      </c>
      <c r="E1088" s="12" t="s">
        <v>54</v>
      </c>
      <c r="F1088" s="12" t="s">
        <v>55</v>
      </c>
      <c r="G1088" s="14" t="n">
        <v>2000</v>
      </c>
      <c r="H1088" s="15" t="n">
        <v>14</v>
      </c>
      <c r="I1088" s="15" t="n">
        <v>13.39</v>
      </c>
      <c r="J1088" s="16" t="n">
        <f aca="false">G1088*H1088</f>
        <v>28000</v>
      </c>
      <c r="K1088" s="16" t="n">
        <f aca="false">(H1088-I1088)*G1088</f>
        <v>1220</v>
      </c>
      <c r="L1088" s="17" t="n">
        <f aca="false">IF(I1088=0,0,H1088/I1088-1)</f>
        <v>0.0455563853622105</v>
      </c>
      <c r="M1088" s="14" t="n">
        <v>1</v>
      </c>
      <c r="N1088" s="18" t="n">
        <v>0.016</v>
      </c>
    </row>
    <row r="1089" customFormat="false" ht="15" hidden="false" customHeight="false" outlineLevel="0" collapsed="false">
      <c r="A1089" s="12" t="s">
        <v>1148</v>
      </c>
      <c r="B1089" s="13" t="n">
        <v>45989</v>
      </c>
      <c r="C1089" s="12" t="str">
        <f aca="false">TEXT(B1089,"yyyy-mm")</f>
        <v>2025-11</v>
      </c>
      <c r="D1089" s="12" t="s">
        <v>39</v>
      </c>
      <c r="E1089" s="12" t="s">
        <v>49</v>
      </c>
      <c r="F1089" s="12" t="s">
        <v>50</v>
      </c>
      <c r="G1089" s="14" t="n">
        <v>200</v>
      </c>
      <c r="H1089" s="15" t="n">
        <v>17.41</v>
      </c>
      <c r="I1089" s="15" t="n">
        <v>17.29</v>
      </c>
      <c r="J1089" s="16" t="n">
        <f aca="false">G1089*H1089</f>
        <v>3482</v>
      </c>
      <c r="K1089" s="16" t="n">
        <f aca="false">(H1089-I1089)*G1089</f>
        <v>24.0000000000002</v>
      </c>
      <c r="L1089" s="17" t="n">
        <f aca="false">IF(I1089=0,0,H1089/I1089-1)</f>
        <v>0.00694042799305961</v>
      </c>
      <c r="M1089" s="14" t="n">
        <v>1</v>
      </c>
      <c r="N1089" s="18" t="n">
        <v>0.013</v>
      </c>
    </row>
    <row r="1090" customFormat="false" ht="15" hidden="false" customHeight="false" outlineLevel="0" collapsed="false">
      <c r="A1090" s="12" t="s">
        <v>1149</v>
      </c>
      <c r="B1090" s="13" t="n">
        <v>45990</v>
      </c>
      <c r="C1090" s="12" t="str">
        <f aca="false">TEXT(B1090,"yyyy-mm")</f>
        <v>2025-11</v>
      </c>
      <c r="D1090" s="12" t="s">
        <v>53</v>
      </c>
      <c r="E1090" s="12" t="s">
        <v>49</v>
      </c>
      <c r="F1090" s="12" t="s">
        <v>50</v>
      </c>
      <c r="G1090" s="14" t="n">
        <v>200</v>
      </c>
      <c r="H1090" s="15" t="n">
        <v>13.72</v>
      </c>
      <c r="I1090" s="15" t="n">
        <v>13.78</v>
      </c>
      <c r="J1090" s="16" t="n">
        <f aca="false">G1090*H1090</f>
        <v>2744</v>
      </c>
      <c r="K1090" s="16" t="n">
        <f aca="false">(H1090-I1090)*G1090</f>
        <v>-11.9999999999997</v>
      </c>
      <c r="L1090" s="17" t="n">
        <f aca="false">IF(I1090=0,0,H1090/I1090-1)</f>
        <v>-0.00435413642960802</v>
      </c>
      <c r="M1090" s="14" t="n">
        <v>1</v>
      </c>
      <c r="N1090" s="18" t="n">
        <v>0.021</v>
      </c>
    </row>
    <row r="1091" customFormat="false" ht="15" hidden="false" customHeight="false" outlineLevel="0" collapsed="false">
      <c r="A1091" s="12" t="s">
        <v>1150</v>
      </c>
      <c r="B1091" s="13" t="n">
        <v>45990</v>
      </c>
      <c r="C1091" s="12" t="str">
        <f aca="false">TEXT(B1091,"yyyy-mm")</f>
        <v>2025-11</v>
      </c>
      <c r="D1091" s="12" t="s">
        <v>111</v>
      </c>
      <c r="E1091" s="12" t="s">
        <v>76</v>
      </c>
      <c r="F1091" s="12" t="s">
        <v>77</v>
      </c>
      <c r="G1091" s="14" t="n">
        <v>1600</v>
      </c>
      <c r="H1091" s="15" t="n">
        <v>17.42</v>
      </c>
      <c r="I1091" s="15" t="n">
        <v>17.23</v>
      </c>
      <c r="J1091" s="16" t="n">
        <f aca="false">G1091*H1091</f>
        <v>27872</v>
      </c>
      <c r="K1091" s="16" t="n">
        <f aca="false">(H1091-I1091)*G1091</f>
        <v>304.000000000002</v>
      </c>
      <c r="L1091" s="17" t="n">
        <f aca="false">IF(I1091=0,0,H1091/I1091-1)</f>
        <v>0.0110272780034824</v>
      </c>
      <c r="M1091" s="14" t="n">
        <v>1</v>
      </c>
      <c r="N1091" s="18" t="n">
        <v>0.023</v>
      </c>
    </row>
    <row r="1092" customFormat="false" ht="15" hidden="false" customHeight="false" outlineLevel="0" collapsed="false">
      <c r="A1092" s="12" t="s">
        <v>1151</v>
      </c>
      <c r="B1092" s="13" t="n">
        <v>45990</v>
      </c>
      <c r="C1092" s="12" t="str">
        <f aca="false">TEXT(B1092,"yyyy-mm")</f>
        <v>2025-11</v>
      </c>
      <c r="D1092" s="12" t="s">
        <v>53</v>
      </c>
      <c r="E1092" s="12" t="s">
        <v>54</v>
      </c>
      <c r="F1092" s="12" t="s">
        <v>55</v>
      </c>
      <c r="G1092" s="14" t="n">
        <v>800</v>
      </c>
      <c r="H1092" s="15" t="n">
        <v>13.99</v>
      </c>
      <c r="I1092" s="15" t="n">
        <v>13.58</v>
      </c>
      <c r="J1092" s="16" t="n">
        <f aca="false">G1092*H1092</f>
        <v>11192</v>
      </c>
      <c r="K1092" s="16" t="n">
        <f aca="false">(H1092-I1092)*G1092</f>
        <v>328</v>
      </c>
      <c r="L1092" s="17" t="n">
        <f aca="false">IF(I1092=0,0,H1092/I1092-1)</f>
        <v>0.0301914580265097</v>
      </c>
      <c r="M1092" s="14" t="n">
        <v>1</v>
      </c>
      <c r="N1092" s="18" t="n">
        <v>0.022</v>
      </c>
    </row>
    <row r="1093" customFormat="false" ht="15" hidden="false" customHeight="false" outlineLevel="0" collapsed="false">
      <c r="A1093" s="12" t="s">
        <v>1152</v>
      </c>
      <c r="B1093" s="13" t="n">
        <v>45990</v>
      </c>
      <c r="C1093" s="12" t="str">
        <f aca="false">TEXT(B1093,"yyyy-mm")</f>
        <v>2025-11</v>
      </c>
      <c r="D1093" s="12" t="s">
        <v>35</v>
      </c>
      <c r="E1093" s="12" t="s">
        <v>43</v>
      </c>
      <c r="F1093" s="12" t="s">
        <v>44</v>
      </c>
      <c r="G1093" s="14" t="n">
        <v>3200</v>
      </c>
      <c r="H1093" s="15" t="n">
        <v>16.29</v>
      </c>
      <c r="I1093" s="15" t="n">
        <v>16.02</v>
      </c>
      <c r="J1093" s="16" t="n">
        <f aca="false">G1093*H1093</f>
        <v>52128</v>
      </c>
      <c r="K1093" s="16" t="n">
        <f aca="false">(H1093-I1093)*G1093</f>
        <v>863.999999999999</v>
      </c>
      <c r="L1093" s="17" t="n">
        <f aca="false">IF(I1093=0,0,H1093/I1093-1)</f>
        <v>0.0168539325842696</v>
      </c>
      <c r="M1093" s="14" t="n">
        <v>1</v>
      </c>
      <c r="N1093" s="18" t="n">
        <v>0.02</v>
      </c>
    </row>
    <row r="1094" customFormat="false" ht="15" hidden="false" customHeight="false" outlineLevel="0" collapsed="false">
      <c r="A1094" s="12" t="s">
        <v>1153</v>
      </c>
      <c r="B1094" s="13" t="n">
        <v>45990</v>
      </c>
      <c r="C1094" s="12" t="str">
        <f aca="false">TEXT(B1094,"yyyy-mm")</f>
        <v>2025-11</v>
      </c>
      <c r="D1094" s="12" t="s">
        <v>53</v>
      </c>
      <c r="E1094" s="12" t="s">
        <v>54</v>
      </c>
      <c r="F1094" s="12" t="s">
        <v>55</v>
      </c>
      <c r="G1094" s="14" t="n">
        <v>2000</v>
      </c>
      <c r="H1094" s="15" t="n">
        <v>13.97</v>
      </c>
      <c r="I1094" s="15" t="n">
        <v>13.33</v>
      </c>
      <c r="J1094" s="16" t="n">
        <f aca="false">G1094*H1094</f>
        <v>27940</v>
      </c>
      <c r="K1094" s="16" t="n">
        <f aca="false">(H1094-I1094)*G1094</f>
        <v>1280</v>
      </c>
      <c r="L1094" s="17" t="n">
        <f aca="false">IF(I1094=0,0,H1094/I1094-1)</f>
        <v>0.0480120030007503</v>
      </c>
      <c r="M1094" s="14" t="n">
        <v>1</v>
      </c>
      <c r="N1094" s="18" t="n">
        <v>0.017</v>
      </c>
    </row>
    <row r="1095" customFormat="false" ht="15" hidden="false" customHeight="false" outlineLevel="0" collapsed="false">
      <c r="A1095" s="12" t="s">
        <v>1154</v>
      </c>
      <c r="B1095" s="13" t="n">
        <v>45990</v>
      </c>
      <c r="C1095" s="12" t="str">
        <f aca="false">TEXT(B1095,"yyyy-mm")</f>
        <v>2025-11</v>
      </c>
      <c r="D1095" s="12" t="s">
        <v>61</v>
      </c>
      <c r="E1095" s="12" t="s">
        <v>43</v>
      </c>
      <c r="F1095" s="12" t="s">
        <v>44</v>
      </c>
      <c r="G1095" s="14" t="n">
        <v>1000</v>
      </c>
      <c r="H1095" s="15" t="n">
        <v>13.67</v>
      </c>
      <c r="I1095" s="15" t="n">
        <v>13.65</v>
      </c>
      <c r="J1095" s="16" t="n">
        <f aca="false">G1095*H1095</f>
        <v>13670</v>
      </c>
      <c r="K1095" s="16" t="n">
        <f aca="false">(H1095-I1095)*G1095</f>
        <v>19.9999999999996</v>
      </c>
      <c r="L1095" s="17" t="n">
        <f aca="false">IF(I1095=0,0,H1095/I1095-1)</f>
        <v>0.00146520146520146</v>
      </c>
      <c r="M1095" s="14" t="n">
        <v>1</v>
      </c>
      <c r="N1095" s="18" t="n">
        <v>0.009</v>
      </c>
    </row>
    <row r="1096" customFormat="false" ht="15" hidden="false" customHeight="false" outlineLevel="0" collapsed="false">
      <c r="A1096" s="12" t="s">
        <v>1155</v>
      </c>
      <c r="B1096" s="13" t="n">
        <v>45990</v>
      </c>
      <c r="C1096" s="12" t="str">
        <f aca="false">TEXT(B1096,"yyyy-mm")</f>
        <v>2025-11</v>
      </c>
      <c r="D1096" s="12" t="s">
        <v>58</v>
      </c>
      <c r="E1096" s="12" t="s">
        <v>59</v>
      </c>
      <c r="F1096" s="12" t="s">
        <v>55</v>
      </c>
      <c r="G1096" s="14" t="n">
        <v>400</v>
      </c>
      <c r="H1096" s="15" t="n">
        <v>25.75</v>
      </c>
      <c r="I1096" s="15" t="n">
        <v>23.75</v>
      </c>
      <c r="J1096" s="16" t="n">
        <f aca="false">G1096*H1096</f>
        <v>10300</v>
      </c>
      <c r="K1096" s="16" t="n">
        <f aca="false">(H1096-I1096)*G1096</f>
        <v>800</v>
      </c>
      <c r="L1096" s="17" t="n">
        <f aca="false">IF(I1096=0,0,H1096/I1096-1)</f>
        <v>0.0842105263157895</v>
      </c>
      <c r="M1096" s="14" t="n">
        <v>1</v>
      </c>
      <c r="N1096" s="18" t="n">
        <v>0.019</v>
      </c>
    </row>
    <row r="1097" customFormat="false" ht="15" hidden="false" customHeight="false" outlineLevel="0" collapsed="false">
      <c r="A1097" s="12" t="s">
        <v>1156</v>
      </c>
      <c r="B1097" s="13" t="n">
        <v>45991</v>
      </c>
      <c r="C1097" s="12" t="str">
        <f aca="false">TEXT(B1097,"yyyy-mm")</f>
        <v>2025-11</v>
      </c>
      <c r="D1097" s="12" t="s">
        <v>58</v>
      </c>
      <c r="E1097" s="12" t="s">
        <v>59</v>
      </c>
      <c r="F1097" s="12" t="s">
        <v>55</v>
      </c>
      <c r="G1097" s="14" t="n">
        <v>2000</v>
      </c>
      <c r="H1097" s="15" t="n">
        <v>27.26</v>
      </c>
      <c r="I1097" s="15" t="n">
        <v>24.77</v>
      </c>
      <c r="J1097" s="16" t="n">
        <f aca="false">G1097*H1097</f>
        <v>54520</v>
      </c>
      <c r="K1097" s="16" t="n">
        <f aca="false">(H1097-I1097)*G1097</f>
        <v>4980</v>
      </c>
      <c r="L1097" s="17" t="n">
        <f aca="false">IF(I1097=0,0,H1097/I1097-1)</f>
        <v>0.100524828421478</v>
      </c>
      <c r="M1097" s="14" t="n">
        <v>1</v>
      </c>
      <c r="N1097" s="18" t="n">
        <v>0.022</v>
      </c>
    </row>
    <row r="1098" customFormat="false" ht="15" hidden="false" customHeight="false" outlineLevel="0" collapsed="false">
      <c r="A1098" s="12" t="s">
        <v>1157</v>
      </c>
      <c r="B1098" s="13" t="n">
        <v>45992</v>
      </c>
      <c r="C1098" s="12" t="str">
        <f aca="false">TEXT(B1098,"yyyy-mm")</f>
        <v>2025-12</v>
      </c>
      <c r="D1098" s="12" t="s">
        <v>53</v>
      </c>
      <c r="E1098" s="12" t="s">
        <v>54</v>
      </c>
      <c r="F1098" s="12" t="s">
        <v>55</v>
      </c>
      <c r="G1098" s="14" t="n">
        <v>200</v>
      </c>
      <c r="H1098" s="15" t="n">
        <v>14.19</v>
      </c>
      <c r="I1098" s="15" t="n">
        <v>13.61</v>
      </c>
      <c r="J1098" s="16" t="n">
        <f aca="false">G1098*H1098</f>
        <v>2838</v>
      </c>
      <c r="K1098" s="16" t="n">
        <f aca="false">(H1098-I1098)*G1098</f>
        <v>116</v>
      </c>
      <c r="L1098" s="17" t="n">
        <f aca="false">IF(I1098=0,0,H1098/I1098-1)</f>
        <v>0.0426157237325495</v>
      </c>
      <c r="M1098" s="14" t="n">
        <v>1</v>
      </c>
      <c r="N1098" s="18" t="n">
        <v>0.017</v>
      </c>
    </row>
    <row r="1099" customFormat="false" ht="15" hidden="false" customHeight="false" outlineLevel="0" collapsed="false">
      <c r="A1099" s="12" t="s">
        <v>1158</v>
      </c>
      <c r="B1099" s="13" t="n">
        <v>45992</v>
      </c>
      <c r="C1099" s="12" t="str">
        <f aca="false">TEXT(B1099,"yyyy-mm")</f>
        <v>2025-12</v>
      </c>
      <c r="D1099" s="12" t="s">
        <v>58</v>
      </c>
      <c r="E1099" s="12" t="s">
        <v>76</v>
      </c>
      <c r="F1099" s="12" t="s">
        <v>77</v>
      </c>
      <c r="G1099" s="14" t="n">
        <v>1000</v>
      </c>
      <c r="H1099" s="15" t="n">
        <v>22.68</v>
      </c>
      <c r="I1099" s="15" t="n">
        <v>22.85</v>
      </c>
      <c r="J1099" s="16" t="n">
        <f aca="false">G1099*H1099</f>
        <v>22680</v>
      </c>
      <c r="K1099" s="16" t="n">
        <f aca="false">(H1099-I1099)*G1099</f>
        <v>-170.000000000002</v>
      </c>
      <c r="L1099" s="17" t="n">
        <f aca="false">IF(I1099=0,0,H1099/I1099-1)</f>
        <v>-0.00743982494529549</v>
      </c>
      <c r="M1099" s="14" t="n">
        <v>1</v>
      </c>
      <c r="N1099" s="18" t="n">
        <v>0.026</v>
      </c>
    </row>
    <row r="1100" customFormat="false" ht="15" hidden="false" customHeight="false" outlineLevel="0" collapsed="false">
      <c r="A1100" s="12" t="s">
        <v>1159</v>
      </c>
      <c r="B1100" s="13" t="n">
        <v>45992</v>
      </c>
      <c r="C1100" s="12" t="str">
        <f aca="false">TEXT(B1100,"yyyy-mm")</f>
        <v>2025-12</v>
      </c>
      <c r="D1100" s="12" t="s">
        <v>111</v>
      </c>
      <c r="E1100" s="12" t="s">
        <v>76</v>
      </c>
      <c r="F1100" s="12" t="s">
        <v>77</v>
      </c>
      <c r="G1100" s="14" t="n">
        <v>200</v>
      </c>
      <c r="H1100" s="15" t="n">
        <v>16.39</v>
      </c>
      <c r="I1100" s="15" t="n">
        <v>16.73</v>
      </c>
      <c r="J1100" s="16" t="n">
        <f aca="false">G1100*H1100</f>
        <v>3278</v>
      </c>
      <c r="K1100" s="16" t="n">
        <f aca="false">(H1100-I1100)*G1100</f>
        <v>-68</v>
      </c>
      <c r="L1100" s="17" t="n">
        <f aca="false">IF(I1100=0,0,H1100/I1100-1)</f>
        <v>-0.0203227734608488</v>
      </c>
      <c r="M1100" s="14" t="n">
        <v>1</v>
      </c>
      <c r="N1100" s="18" t="n">
        <v>0.019</v>
      </c>
    </row>
    <row r="1101" customFormat="false" ht="15" hidden="false" customHeight="false" outlineLevel="0" collapsed="false">
      <c r="A1101" s="12" t="s">
        <v>1160</v>
      </c>
      <c r="B1101" s="13" t="n">
        <v>45992</v>
      </c>
      <c r="C1101" s="12" t="str">
        <f aca="false">TEXT(B1101,"yyyy-mm")</f>
        <v>2025-12</v>
      </c>
      <c r="D1101" s="12" t="s">
        <v>58</v>
      </c>
      <c r="E1101" s="12" t="s">
        <v>40</v>
      </c>
      <c r="F1101" s="12" t="s">
        <v>41</v>
      </c>
      <c r="G1101" s="14" t="n">
        <v>1200</v>
      </c>
      <c r="H1101" s="15" t="n">
        <v>23.69</v>
      </c>
      <c r="I1101" s="15" t="n">
        <v>24.08</v>
      </c>
      <c r="J1101" s="16" t="n">
        <f aca="false">G1101*H1101</f>
        <v>28428</v>
      </c>
      <c r="K1101" s="16" t="n">
        <f aca="false">(H1101-I1101)*G1101</f>
        <v>-467.999999999996</v>
      </c>
      <c r="L1101" s="17" t="n">
        <f aca="false">IF(I1101=0,0,H1101/I1101-1)</f>
        <v>-0.0161960132890364</v>
      </c>
      <c r="M1101" s="14" t="n">
        <v>1</v>
      </c>
      <c r="N1101" s="18" t="n">
        <v>0.021</v>
      </c>
    </row>
    <row r="1102" customFormat="false" ht="15" hidden="false" customHeight="false" outlineLevel="0" collapsed="false">
      <c r="A1102" s="12" t="s">
        <v>1161</v>
      </c>
      <c r="B1102" s="13" t="n">
        <v>45992</v>
      </c>
      <c r="C1102" s="12" t="str">
        <f aca="false">TEXT(B1102,"yyyy-mm")</f>
        <v>2025-12</v>
      </c>
      <c r="D1102" s="12" t="s">
        <v>58</v>
      </c>
      <c r="E1102" s="12" t="s">
        <v>59</v>
      </c>
      <c r="F1102" s="12" t="s">
        <v>55</v>
      </c>
      <c r="G1102" s="14" t="n">
        <v>400</v>
      </c>
      <c r="H1102" s="15" t="n">
        <v>25</v>
      </c>
      <c r="I1102" s="15" t="n">
        <v>23.71</v>
      </c>
      <c r="J1102" s="16" t="n">
        <f aca="false">G1102*H1102</f>
        <v>10000</v>
      </c>
      <c r="K1102" s="16" t="n">
        <f aca="false">(H1102-I1102)*G1102</f>
        <v>516</v>
      </c>
      <c r="L1102" s="17" t="n">
        <f aca="false">IF(I1102=0,0,H1102/I1102-1)</f>
        <v>0.0544074230282581</v>
      </c>
      <c r="M1102" s="14" t="n">
        <v>1</v>
      </c>
      <c r="N1102" s="18" t="n">
        <v>0.017</v>
      </c>
    </row>
    <row r="1103" customFormat="false" ht="15" hidden="false" customHeight="false" outlineLevel="0" collapsed="false">
      <c r="A1103" s="12" t="s">
        <v>1162</v>
      </c>
      <c r="B1103" s="13" t="n">
        <v>45992</v>
      </c>
      <c r="C1103" s="12" t="str">
        <f aca="false">TEXT(B1103,"yyyy-mm")</f>
        <v>2025-12</v>
      </c>
      <c r="D1103" s="12" t="s">
        <v>53</v>
      </c>
      <c r="E1103" s="12" t="s">
        <v>54</v>
      </c>
      <c r="F1103" s="12" t="s">
        <v>55</v>
      </c>
      <c r="G1103" s="14" t="n">
        <v>800</v>
      </c>
      <c r="H1103" s="15" t="n">
        <v>13.95</v>
      </c>
      <c r="I1103" s="15" t="n">
        <v>13.21</v>
      </c>
      <c r="J1103" s="16" t="n">
        <f aca="false">G1103*H1103</f>
        <v>11160</v>
      </c>
      <c r="K1103" s="16" t="n">
        <f aca="false">(H1103-I1103)*G1103</f>
        <v>591.999999999999</v>
      </c>
      <c r="L1103" s="17" t="n">
        <f aca="false">IF(I1103=0,0,H1103/I1103-1)</f>
        <v>0.056018168054504</v>
      </c>
      <c r="M1103" s="14" t="n">
        <v>1</v>
      </c>
      <c r="N1103" s="18" t="n">
        <v>0.01</v>
      </c>
    </row>
    <row r="1104" customFormat="false" ht="15" hidden="false" customHeight="false" outlineLevel="0" collapsed="false">
      <c r="A1104" s="12" t="s">
        <v>1163</v>
      </c>
      <c r="B1104" s="13" t="n">
        <v>45993</v>
      </c>
      <c r="C1104" s="12" t="str">
        <f aca="false">TEXT(B1104,"yyyy-mm")</f>
        <v>2025-12</v>
      </c>
      <c r="D1104" s="12" t="s">
        <v>75</v>
      </c>
      <c r="E1104" s="12" t="s">
        <v>76</v>
      </c>
      <c r="F1104" s="12" t="s">
        <v>77</v>
      </c>
      <c r="G1104" s="14" t="n">
        <v>2000</v>
      </c>
      <c r="H1104" s="15" t="n">
        <v>19.67</v>
      </c>
      <c r="I1104" s="15" t="n">
        <v>20.26</v>
      </c>
      <c r="J1104" s="16" t="n">
        <f aca="false">G1104*H1104</f>
        <v>39340</v>
      </c>
      <c r="K1104" s="16" t="n">
        <f aca="false">(H1104-I1104)*G1104</f>
        <v>-1180</v>
      </c>
      <c r="L1104" s="17" t="n">
        <f aca="false">IF(I1104=0,0,H1104/I1104-1)</f>
        <v>-0.0291214215202369</v>
      </c>
      <c r="M1104" s="14" t="n">
        <v>1</v>
      </c>
      <c r="N1104" s="18" t="n">
        <v>0.019</v>
      </c>
    </row>
    <row r="1105" customFormat="false" ht="15" hidden="false" customHeight="false" outlineLevel="0" collapsed="false">
      <c r="A1105" s="12" t="s">
        <v>1164</v>
      </c>
      <c r="B1105" s="13" t="n">
        <v>45993</v>
      </c>
      <c r="C1105" s="12" t="str">
        <f aca="false">TEXT(B1105,"yyyy-mm")</f>
        <v>2025-12</v>
      </c>
      <c r="D1105" s="12" t="s">
        <v>75</v>
      </c>
      <c r="E1105" s="12" t="s">
        <v>76</v>
      </c>
      <c r="F1105" s="12" t="s">
        <v>77</v>
      </c>
      <c r="G1105" s="14" t="n">
        <v>1600</v>
      </c>
      <c r="H1105" s="15" t="n">
        <v>19.44</v>
      </c>
      <c r="I1105" s="15" t="n">
        <v>19.94</v>
      </c>
      <c r="J1105" s="16" t="n">
        <f aca="false">G1105*H1105</f>
        <v>31104</v>
      </c>
      <c r="K1105" s="16" t="n">
        <f aca="false">(H1105-I1105)*G1105</f>
        <v>-800</v>
      </c>
      <c r="L1105" s="17" t="n">
        <f aca="false">IF(I1105=0,0,H1105/I1105-1)</f>
        <v>-0.0250752256770311</v>
      </c>
      <c r="M1105" s="14" t="n">
        <v>1</v>
      </c>
      <c r="N1105" s="18" t="n">
        <v>0.029</v>
      </c>
    </row>
    <row r="1106" customFormat="false" ht="15" hidden="false" customHeight="false" outlineLevel="0" collapsed="false">
      <c r="A1106" s="12" t="s">
        <v>1165</v>
      </c>
      <c r="B1106" s="13" t="n">
        <v>45993</v>
      </c>
      <c r="C1106" s="12" t="str">
        <f aca="false">TEXT(B1106,"yyyy-mm")</f>
        <v>2025-12</v>
      </c>
      <c r="D1106" s="12" t="s">
        <v>80</v>
      </c>
      <c r="E1106" s="12" t="s">
        <v>81</v>
      </c>
      <c r="F1106" s="12" t="s">
        <v>82</v>
      </c>
      <c r="G1106" s="14" t="n">
        <v>1200</v>
      </c>
      <c r="H1106" s="15" t="n">
        <v>19.57</v>
      </c>
      <c r="I1106" s="15" t="n">
        <v>20.42</v>
      </c>
      <c r="J1106" s="16" t="n">
        <f aca="false">G1106*H1106</f>
        <v>23484</v>
      </c>
      <c r="K1106" s="16" t="n">
        <f aca="false">(H1106-I1106)*G1106</f>
        <v>-1020</v>
      </c>
      <c r="L1106" s="17" t="n">
        <f aca="false">IF(I1106=0,0,H1106/I1106-1)</f>
        <v>-0.0416258570029384</v>
      </c>
      <c r="M1106" s="14" t="n">
        <v>1</v>
      </c>
      <c r="N1106" s="18" t="n">
        <v>0.019</v>
      </c>
    </row>
    <row r="1107" customFormat="false" ht="15" hidden="false" customHeight="false" outlineLevel="0" collapsed="false">
      <c r="A1107" s="12" t="s">
        <v>1166</v>
      </c>
      <c r="B1107" s="13" t="n">
        <v>45994</v>
      </c>
      <c r="C1107" s="12" t="str">
        <f aca="false">TEXT(B1107,"yyyy-mm")</f>
        <v>2025-12</v>
      </c>
      <c r="D1107" s="12" t="s">
        <v>58</v>
      </c>
      <c r="E1107" s="12" t="s">
        <v>76</v>
      </c>
      <c r="F1107" s="12" t="s">
        <v>77</v>
      </c>
      <c r="G1107" s="14" t="n">
        <v>600</v>
      </c>
      <c r="H1107" s="15" t="n">
        <v>23.55</v>
      </c>
      <c r="I1107" s="15" t="n">
        <v>24.01</v>
      </c>
      <c r="J1107" s="16" t="n">
        <f aca="false">G1107*H1107</f>
        <v>14130</v>
      </c>
      <c r="K1107" s="16" t="n">
        <f aca="false">(H1107-I1107)*G1107</f>
        <v>-276.000000000001</v>
      </c>
      <c r="L1107" s="17" t="n">
        <f aca="false">IF(I1107=0,0,H1107/I1107-1)</f>
        <v>-0.0191586838817159</v>
      </c>
      <c r="M1107" s="14" t="n">
        <v>1</v>
      </c>
      <c r="N1107" s="18" t="n">
        <v>0.023</v>
      </c>
    </row>
    <row r="1108" customFormat="false" ht="15" hidden="false" customHeight="false" outlineLevel="0" collapsed="false">
      <c r="A1108" s="12" t="s">
        <v>1167</v>
      </c>
      <c r="B1108" s="13" t="n">
        <v>45994</v>
      </c>
      <c r="C1108" s="12" t="str">
        <f aca="false">TEXT(B1108,"yyyy-mm")</f>
        <v>2025-12</v>
      </c>
      <c r="D1108" s="12" t="s">
        <v>53</v>
      </c>
      <c r="E1108" s="12" t="s">
        <v>54</v>
      </c>
      <c r="F1108" s="12" t="s">
        <v>55</v>
      </c>
      <c r="G1108" s="14" t="n">
        <v>1200</v>
      </c>
      <c r="H1108" s="15" t="n">
        <v>13.12</v>
      </c>
      <c r="I1108" s="15" t="n">
        <v>13.1</v>
      </c>
      <c r="J1108" s="16" t="n">
        <f aca="false">G1108*H1108</f>
        <v>15744</v>
      </c>
      <c r="K1108" s="16" t="n">
        <f aca="false">(H1108-I1108)*G1108</f>
        <v>23.9999999999995</v>
      </c>
      <c r="L1108" s="17" t="n">
        <f aca="false">IF(I1108=0,0,H1108/I1108-1)</f>
        <v>0.00152671755725198</v>
      </c>
      <c r="M1108" s="14" t="n">
        <v>1</v>
      </c>
      <c r="N1108" s="18" t="n">
        <v>0.008</v>
      </c>
    </row>
    <row r="1109" customFormat="false" ht="15" hidden="false" customHeight="false" outlineLevel="0" collapsed="false">
      <c r="A1109" s="12" t="s">
        <v>1168</v>
      </c>
      <c r="B1109" s="13" t="n">
        <v>45994</v>
      </c>
      <c r="C1109" s="12" t="str">
        <f aca="false">TEXT(B1109,"yyyy-mm")</f>
        <v>2025-12</v>
      </c>
      <c r="D1109" s="12" t="s">
        <v>80</v>
      </c>
      <c r="E1109" s="12" t="s">
        <v>81</v>
      </c>
      <c r="F1109" s="12" t="s">
        <v>82</v>
      </c>
      <c r="G1109" s="14" t="n">
        <v>2000</v>
      </c>
      <c r="H1109" s="15" t="n">
        <v>19.6</v>
      </c>
      <c r="I1109" s="15" t="n">
        <v>20.72</v>
      </c>
      <c r="J1109" s="16" t="n">
        <f aca="false">G1109*H1109</f>
        <v>39200</v>
      </c>
      <c r="K1109" s="16" t="n">
        <f aca="false">(H1109-I1109)*G1109</f>
        <v>-2240</v>
      </c>
      <c r="L1109" s="17" t="n">
        <f aca="false">IF(I1109=0,0,H1109/I1109-1)</f>
        <v>-0.0540540540540539</v>
      </c>
      <c r="M1109" s="14" t="n">
        <v>0</v>
      </c>
      <c r="N1109" s="18" t="n">
        <v>0.025</v>
      </c>
    </row>
    <row r="1110" customFormat="false" ht="15" hidden="false" customHeight="false" outlineLevel="0" collapsed="false">
      <c r="A1110" s="12" t="s">
        <v>1169</v>
      </c>
      <c r="B1110" s="13" t="n">
        <v>45994</v>
      </c>
      <c r="C1110" s="12" t="str">
        <f aca="false">TEXT(B1110,"yyyy-mm")</f>
        <v>2025-12</v>
      </c>
      <c r="D1110" s="12" t="s">
        <v>61</v>
      </c>
      <c r="E1110" s="12" t="s">
        <v>36</v>
      </c>
      <c r="F1110" s="12" t="s">
        <v>37</v>
      </c>
      <c r="G1110" s="14" t="n">
        <v>1000</v>
      </c>
      <c r="H1110" s="15" t="n">
        <v>13.6</v>
      </c>
      <c r="I1110" s="15" t="n">
        <v>13.29</v>
      </c>
      <c r="J1110" s="16" t="n">
        <f aca="false">G1110*H1110</f>
        <v>13600</v>
      </c>
      <c r="K1110" s="16" t="n">
        <f aca="false">(H1110-I1110)*G1110</f>
        <v>310.000000000001</v>
      </c>
      <c r="L1110" s="17" t="n">
        <f aca="false">IF(I1110=0,0,H1110/I1110-1)</f>
        <v>0.0233258088788564</v>
      </c>
      <c r="M1110" s="14" t="n">
        <v>1</v>
      </c>
      <c r="N1110" s="18" t="n">
        <v>0.014</v>
      </c>
    </row>
    <row r="1111" customFormat="false" ht="15" hidden="false" customHeight="false" outlineLevel="0" collapsed="false">
      <c r="A1111" s="12" t="s">
        <v>1170</v>
      </c>
      <c r="B1111" s="13" t="n">
        <v>45994</v>
      </c>
      <c r="C1111" s="12" t="str">
        <f aca="false">TEXT(B1111,"yyyy-mm")</f>
        <v>2025-12</v>
      </c>
      <c r="D1111" s="12" t="s">
        <v>80</v>
      </c>
      <c r="E1111" s="12" t="s">
        <v>81</v>
      </c>
      <c r="F1111" s="12" t="s">
        <v>82</v>
      </c>
      <c r="G1111" s="14" t="n">
        <v>800</v>
      </c>
      <c r="H1111" s="15" t="n">
        <v>19.66</v>
      </c>
      <c r="I1111" s="15" t="n">
        <v>20.62</v>
      </c>
      <c r="J1111" s="16" t="n">
        <f aca="false">G1111*H1111</f>
        <v>15728</v>
      </c>
      <c r="K1111" s="16" t="n">
        <f aca="false">(H1111-I1111)*G1111</f>
        <v>-768.000000000001</v>
      </c>
      <c r="L1111" s="17" t="n">
        <f aca="false">IF(I1111=0,0,H1111/I1111-1)</f>
        <v>-0.0465567410281281</v>
      </c>
      <c r="M1111" s="14" t="n">
        <v>1</v>
      </c>
      <c r="N1111" s="18" t="n">
        <v>0.037</v>
      </c>
    </row>
    <row r="1112" customFormat="false" ht="15" hidden="false" customHeight="false" outlineLevel="0" collapsed="false">
      <c r="A1112" s="12" t="s">
        <v>1171</v>
      </c>
      <c r="B1112" s="13" t="n">
        <v>45994</v>
      </c>
      <c r="C1112" s="12" t="str">
        <f aca="false">TEXT(B1112,"yyyy-mm")</f>
        <v>2025-12</v>
      </c>
      <c r="D1112" s="12" t="s">
        <v>75</v>
      </c>
      <c r="E1112" s="12" t="s">
        <v>49</v>
      </c>
      <c r="F1112" s="12" t="s">
        <v>50</v>
      </c>
      <c r="G1112" s="14" t="n">
        <v>1200</v>
      </c>
      <c r="H1112" s="15" t="n">
        <v>20.44</v>
      </c>
      <c r="I1112" s="15" t="n">
        <v>20.5</v>
      </c>
      <c r="J1112" s="16" t="n">
        <f aca="false">G1112*H1112</f>
        <v>24528</v>
      </c>
      <c r="K1112" s="16" t="n">
        <f aca="false">(H1112-I1112)*G1112</f>
        <v>-71.9999999999985</v>
      </c>
      <c r="L1112" s="17" t="n">
        <f aca="false">IF(I1112=0,0,H1112/I1112-1)</f>
        <v>-0.00292682926829257</v>
      </c>
      <c r="M1112" s="14" t="n">
        <v>1</v>
      </c>
      <c r="N1112" s="18" t="n">
        <v>0.019</v>
      </c>
    </row>
    <row r="1113" customFormat="false" ht="15" hidden="false" customHeight="false" outlineLevel="0" collapsed="false">
      <c r="A1113" s="12" t="s">
        <v>1172</v>
      </c>
      <c r="B1113" s="13" t="n">
        <v>45994</v>
      </c>
      <c r="C1113" s="12" t="str">
        <f aca="false">TEXT(B1113,"yyyy-mm")</f>
        <v>2025-12</v>
      </c>
      <c r="D1113" s="12" t="s">
        <v>80</v>
      </c>
      <c r="E1113" s="12" t="s">
        <v>81</v>
      </c>
      <c r="F1113" s="12" t="s">
        <v>82</v>
      </c>
      <c r="G1113" s="14" t="n">
        <v>600</v>
      </c>
      <c r="H1113" s="15" t="n">
        <v>20.4</v>
      </c>
      <c r="I1113" s="15" t="n">
        <v>20.72</v>
      </c>
      <c r="J1113" s="16" t="n">
        <f aca="false">G1113*H1113</f>
        <v>12240</v>
      </c>
      <c r="K1113" s="16" t="n">
        <f aca="false">(H1113-I1113)*G1113</f>
        <v>-192</v>
      </c>
      <c r="L1113" s="17" t="n">
        <f aca="false">IF(I1113=0,0,H1113/I1113-1)</f>
        <v>-0.0154440154440154</v>
      </c>
      <c r="M1113" s="14" t="n">
        <v>1</v>
      </c>
      <c r="N1113" s="18" t="n">
        <v>0.045</v>
      </c>
    </row>
    <row r="1114" customFormat="false" ht="15" hidden="false" customHeight="false" outlineLevel="0" collapsed="false">
      <c r="A1114" s="12" t="s">
        <v>1173</v>
      </c>
      <c r="B1114" s="13" t="n">
        <v>45994</v>
      </c>
      <c r="C1114" s="12" t="str">
        <f aca="false">TEXT(B1114,"yyyy-mm")</f>
        <v>2025-12</v>
      </c>
      <c r="D1114" s="12" t="s">
        <v>61</v>
      </c>
      <c r="E1114" s="12" t="s">
        <v>43</v>
      </c>
      <c r="F1114" s="12" t="s">
        <v>44</v>
      </c>
      <c r="G1114" s="14" t="n">
        <v>1600</v>
      </c>
      <c r="H1114" s="15" t="n">
        <v>13.55</v>
      </c>
      <c r="I1114" s="15" t="n">
        <v>13.28</v>
      </c>
      <c r="J1114" s="16" t="n">
        <f aca="false">G1114*H1114</f>
        <v>21680</v>
      </c>
      <c r="K1114" s="16" t="n">
        <f aca="false">(H1114-I1114)*G1114</f>
        <v>432.000000000002</v>
      </c>
      <c r="L1114" s="17" t="n">
        <f aca="false">IF(I1114=0,0,H1114/I1114-1)</f>
        <v>0.020331325301205</v>
      </c>
      <c r="M1114" s="14" t="n">
        <v>1</v>
      </c>
      <c r="N1114" s="18" t="n">
        <v>0.017</v>
      </c>
    </row>
    <row r="1115" customFormat="false" ht="15" hidden="false" customHeight="false" outlineLevel="0" collapsed="false">
      <c r="A1115" s="12" t="s">
        <v>1174</v>
      </c>
      <c r="B1115" s="13" t="n">
        <v>45994</v>
      </c>
      <c r="C1115" s="12" t="str">
        <f aca="false">TEXT(B1115,"yyyy-mm")</f>
        <v>2025-12</v>
      </c>
      <c r="D1115" s="12" t="s">
        <v>39</v>
      </c>
      <c r="E1115" s="12" t="s">
        <v>40</v>
      </c>
      <c r="F1115" s="12" t="s">
        <v>41</v>
      </c>
      <c r="G1115" s="14" t="n">
        <v>1600</v>
      </c>
      <c r="H1115" s="15" t="n">
        <v>17.58</v>
      </c>
      <c r="I1115" s="15" t="n">
        <v>17.05</v>
      </c>
      <c r="J1115" s="16" t="n">
        <f aca="false">G1115*H1115</f>
        <v>28128</v>
      </c>
      <c r="K1115" s="16" t="n">
        <f aca="false">(H1115-I1115)*G1115</f>
        <v>847.999999999996</v>
      </c>
      <c r="L1115" s="17" t="n">
        <f aca="false">IF(I1115=0,0,H1115/I1115-1)</f>
        <v>0.0310850439882697</v>
      </c>
      <c r="M1115" s="14" t="n">
        <v>1</v>
      </c>
      <c r="N1115" s="18" t="n">
        <v>0.019</v>
      </c>
    </row>
    <row r="1116" customFormat="false" ht="15" hidden="false" customHeight="false" outlineLevel="0" collapsed="false">
      <c r="A1116" s="12" t="s">
        <v>1175</v>
      </c>
      <c r="B1116" s="13" t="n">
        <v>45995</v>
      </c>
      <c r="C1116" s="12" t="str">
        <f aca="false">TEXT(B1116,"yyyy-mm")</f>
        <v>2025-12</v>
      </c>
      <c r="D1116" s="12" t="s">
        <v>80</v>
      </c>
      <c r="E1116" s="12" t="s">
        <v>92</v>
      </c>
      <c r="F1116" s="12" t="s">
        <v>93</v>
      </c>
      <c r="G1116" s="14" t="n">
        <v>1600</v>
      </c>
      <c r="H1116" s="15" t="n">
        <v>19.2</v>
      </c>
      <c r="I1116" s="15" t="n">
        <v>20.38</v>
      </c>
      <c r="J1116" s="16" t="n">
        <f aca="false">G1116*H1116</f>
        <v>30720</v>
      </c>
      <c r="K1116" s="16" t="n">
        <f aca="false">(H1116-I1116)*G1116</f>
        <v>-1888</v>
      </c>
      <c r="L1116" s="17" t="n">
        <f aca="false">IF(I1116=0,0,H1116/I1116-1)</f>
        <v>-0.0578999018645731</v>
      </c>
      <c r="M1116" s="14" t="n">
        <v>1</v>
      </c>
      <c r="N1116" s="18" t="n">
        <v>0.035</v>
      </c>
    </row>
    <row r="1117" customFormat="false" ht="15" hidden="false" customHeight="false" outlineLevel="0" collapsed="false">
      <c r="A1117" s="12" t="s">
        <v>1176</v>
      </c>
      <c r="B1117" s="13" t="n">
        <v>45995</v>
      </c>
      <c r="C1117" s="12" t="str">
        <f aca="false">TEXT(B1117,"yyyy-mm")</f>
        <v>2025-12</v>
      </c>
      <c r="D1117" s="12" t="s">
        <v>39</v>
      </c>
      <c r="E1117" s="12" t="s">
        <v>46</v>
      </c>
      <c r="F1117" s="12" t="s">
        <v>47</v>
      </c>
      <c r="G1117" s="14" t="n">
        <v>600</v>
      </c>
      <c r="H1117" s="15" t="n">
        <v>17.56</v>
      </c>
      <c r="I1117" s="15" t="n">
        <v>16.86</v>
      </c>
      <c r="J1117" s="16" t="n">
        <f aca="false">G1117*H1117</f>
        <v>10536</v>
      </c>
      <c r="K1117" s="16" t="n">
        <f aca="false">(H1117-I1117)*G1117</f>
        <v>420</v>
      </c>
      <c r="L1117" s="17" t="n">
        <f aca="false">IF(I1117=0,0,H1117/I1117-1)</f>
        <v>0.0415183867141162</v>
      </c>
      <c r="M1117" s="14" t="n">
        <v>1</v>
      </c>
      <c r="N1117" s="18" t="n">
        <v>0.01</v>
      </c>
    </row>
    <row r="1118" customFormat="false" ht="15" hidden="false" customHeight="false" outlineLevel="0" collapsed="false">
      <c r="A1118" s="12" t="s">
        <v>1177</v>
      </c>
      <c r="B1118" s="13" t="n">
        <v>45996</v>
      </c>
      <c r="C1118" s="12" t="str">
        <f aca="false">TEXT(B1118,"yyyy-mm")</f>
        <v>2025-12</v>
      </c>
      <c r="D1118" s="12" t="s">
        <v>35</v>
      </c>
      <c r="E1118" s="12" t="s">
        <v>43</v>
      </c>
      <c r="F1118" s="12" t="s">
        <v>44</v>
      </c>
      <c r="G1118" s="14" t="n">
        <v>2400</v>
      </c>
      <c r="H1118" s="15" t="n">
        <v>16.16</v>
      </c>
      <c r="I1118" s="15" t="n">
        <v>15.39</v>
      </c>
      <c r="J1118" s="16" t="n">
        <f aca="false">G1118*H1118</f>
        <v>38784</v>
      </c>
      <c r="K1118" s="16" t="n">
        <f aca="false">(H1118-I1118)*G1118</f>
        <v>1848</v>
      </c>
      <c r="L1118" s="17" t="n">
        <f aca="false">IF(I1118=0,0,H1118/I1118-1)</f>
        <v>0.0500324886289798</v>
      </c>
      <c r="M1118" s="14" t="n">
        <v>1</v>
      </c>
      <c r="N1118" s="18" t="n">
        <v>0.008</v>
      </c>
    </row>
    <row r="1119" customFormat="false" ht="15" hidden="false" customHeight="false" outlineLevel="0" collapsed="false">
      <c r="A1119" s="12" t="s">
        <v>1178</v>
      </c>
      <c r="B1119" s="13" t="n">
        <v>45996</v>
      </c>
      <c r="C1119" s="12" t="str">
        <f aca="false">TEXT(B1119,"yyyy-mm")</f>
        <v>2025-12</v>
      </c>
      <c r="D1119" s="12" t="s">
        <v>39</v>
      </c>
      <c r="E1119" s="12" t="s">
        <v>49</v>
      </c>
      <c r="F1119" s="12" t="s">
        <v>50</v>
      </c>
      <c r="G1119" s="14" t="n">
        <v>200</v>
      </c>
      <c r="H1119" s="15" t="n">
        <v>16.65</v>
      </c>
      <c r="I1119" s="15" t="n">
        <v>17.17</v>
      </c>
      <c r="J1119" s="16" t="n">
        <f aca="false">G1119*H1119</f>
        <v>3330</v>
      </c>
      <c r="K1119" s="16" t="n">
        <f aca="false">(H1119-I1119)*G1119</f>
        <v>-104.000000000001</v>
      </c>
      <c r="L1119" s="17" t="n">
        <f aca="false">IF(I1119=0,0,H1119/I1119-1)</f>
        <v>-0.0302853814793246</v>
      </c>
      <c r="M1119" s="14" t="n">
        <v>0</v>
      </c>
      <c r="N1119" s="18" t="n">
        <v>0.024</v>
      </c>
    </row>
    <row r="1120" customFormat="false" ht="15" hidden="false" customHeight="false" outlineLevel="0" collapsed="false">
      <c r="A1120" s="12" t="s">
        <v>1179</v>
      </c>
      <c r="B1120" s="13" t="n">
        <v>45997</v>
      </c>
      <c r="C1120" s="12" t="str">
        <f aca="false">TEXT(B1120,"yyyy-mm")</f>
        <v>2025-12</v>
      </c>
      <c r="D1120" s="12" t="s">
        <v>58</v>
      </c>
      <c r="E1120" s="12" t="s">
        <v>40</v>
      </c>
      <c r="F1120" s="12" t="s">
        <v>41</v>
      </c>
      <c r="G1120" s="14" t="n">
        <v>400</v>
      </c>
      <c r="H1120" s="15" t="n">
        <v>22.81</v>
      </c>
      <c r="I1120" s="15" t="n">
        <v>22.77</v>
      </c>
      <c r="J1120" s="16" t="n">
        <f aca="false">G1120*H1120</f>
        <v>9124</v>
      </c>
      <c r="K1120" s="16" t="n">
        <f aca="false">(H1120-I1120)*G1120</f>
        <v>15.9999999999997</v>
      </c>
      <c r="L1120" s="17" t="n">
        <f aca="false">IF(I1120=0,0,H1120/I1120-1)</f>
        <v>0.00175669740887119</v>
      </c>
      <c r="M1120" s="14" t="n">
        <v>1</v>
      </c>
      <c r="N1120" s="18" t="n">
        <v>0.023</v>
      </c>
    </row>
    <row r="1121" customFormat="false" ht="15" hidden="false" customHeight="false" outlineLevel="0" collapsed="false">
      <c r="A1121" s="12" t="s">
        <v>1180</v>
      </c>
      <c r="B1121" s="13" t="n">
        <v>45997</v>
      </c>
      <c r="C1121" s="12" t="str">
        <f aca="false">TEXT(B1121,"yyyy-mm")</f>
        <v>2025-12</v>
      </c>
      <c r="D1121" s="12" t="s">
        <v>75</v>
      </c>
      <c r="E1121" s="12" t="s">
        <v>40</v>
      </c>
      <c r="F1121" s="12" t="s">
        <v>41</v>
      </c>
      <c r="G1121" s="14" t="n">
        <v>600</v>
      </c>
      <c r="H1121" s="15" t="n">
        <v>20.23</v>
      </c>
      <c r="I1121" s="15" t="n">
        <v>20.32</v>
      </c>
      <c r="J1121" s="16" t="n">
        <f aca="false">G1121*H1121</f>
        <v>12138</v>
      </c>
      <c r="K1121" s="16" t="n">
        <f aca="false">(H1121-I1121)*G1121</f>
        <v>-53.9999999999999</v>
      </c>
      <c r="L1121" s="17" t="n">
        <f aca="false">IF(I1121=0,0,H1121/I1121-1)</f>
        <v>-0.00442913385826771</v>
      </c>
      <c r="M1121" s="14" t="n">
        <v>1</v>
      </c>
      <c r="N1121" s="18" t="n">
        <v>0.018</v>
      </c>
    </row>
    <row r="1122" customFormat="false" ht="15" hidden="false" customHeight="false" outlineLevel="0" collapsed="false">
      <c r="A1122" s="12" t="s">
        <v>1181</v>
      </c>
      <c r="B1122" s="13" t="n">
        <v>45998</v>
      </c>
      <c r="C1122" s="12" t="str">
        <f aca="false">TEXT(B1122,"yyyy-mm")</f>
        <v>2025-12</v>
      </c>
      <c r="D1122" s="12" t="s">
        <v>61</v>
      </c>
      <c r="E1122" s="12" t="s">
        <v>43</v>
      </c>
      <c r="F1122" s="12" t="s">
        <v>44</v>
      </c>
      <c r="G1122" s="14" t="n">
        <v>200</v>
      </c>
      <c r="H1122" s="15" t="n">
        <v>14.42</v>
      </c>
      <c r="I1122" s="15" t="n">
        <v>13.77</v>
      </c>
      <c r="J1122" s="16" t="n">
        <f aca="false">G1122*H1122</f>
        <v>2884</v>
      </c>
      <c r="K1122" s="16" t="n">
        <f aca="false">(H1122-I1122)*G1122</f>
        <v>130</v>
      </c>
      <c r="L1122" s="17" t="n">
        <f aca="false">IF(I1122=0,0,H1122/I1122-1)</f>
        <v>0.04720406681191</v>
      </c>
      <c r="M1122" s="14" t="n">
        <v>1</v>
      </c>
      <c r="N1122" s="18" t="n">
        <v>0.013</v>
      </c>
    </row>
    <row r="1123" customFormat="false" ht="15" hidden="false" customHeight="false" outlineLevel="0" collapsed="false">
      <c r="A1123" s="12" t="s">
        <v>1182</v>
      </c>
      <c r="B1123" s="13" t="n">
        <v>45999</v>
      </c>
      <c r="C1123" s="12" t="str">
        <f aca="false">TEXT(B1123,"yyyy-mm")</f>
        <v>2025-12</v>
      </c>
      <c r="D1123" s="12" t="s">
        <v>35</v>
      </c>
      <c r="E1123" s="12" t="s">
        <v>43</v>
      </c>
      <c r="F1123" s="12" t="s">
        <v>44</v>
      </c>
      <c r="G1123" s="14" t="n">
        <v>4000</v>
      </c>
      <c r="H1123" s="15" t="n">
        <v>16.25</v>
      </c>
      <c r="I1123" s="15" t="n">
        <v>16.13</v>
      </c>
      <c r="J1123" s="16" t="n">
        <f aca="false">G1123*H1123</f>
        <v>65000</v>
      </c>
      <c r="K1123" s="16" t="n">
        <f aca="false">(H1123-I1123)*G1123</f>
        <v>480.000000000004</v>
      </c>
      <c r="L1123" s="17" t="n">
        <f aca="false">IF(I1123=0,0,H1123/I1123-1)</f>
        <v>0.00743955362678239</v>
      </c>
      <c r="M1123" s="14" t="n">
        <v>1</v>
      </c>
      <c r="N1123" s="18" t="n">
        <v>0.016</v>
      </c>
    </row>
    <row r="1124" customFormat="false" ht="15" hidden="false" customHeight="false" outlineLevel="0" collapsed="false">
      <c r="A1124" s="12" t="s">
        <v>1183</v>
      </c>
      <c r="B1124" s="13" t="n">
        <v>45999</v>
      </c>
      <c r="C1124" s="12" t="str">
        <f aca="false">TEXT(B1124,"yyyy-mm")</f>
        <v>2025-12</v>
      </c>
      <c r="D1124" s="12" t="s">
        <v>35</v>
      </c>
      <c r="E1124" s="12" t="s">
        <v>43</v>
      </c>
      <c r="F1124" s="12" t="s">
        <v>44</v>
      </c>
      <c r="G1124" s="14" t="n">
        <v>1200</v>
      </c>
      <c r="H1124" s="15" t="n">
        <v>16.43</v>
      </c>
      <c r="I1124" s="15" t="n">
        <v>16.24</v>
      </c>
      <c r="J1124" s="16" t="n">
        <f aca="false">G1124*H1124</f>
        <v>19716</v>
      </c>
      <c r="K1124" s="16" t="n">
        <f aca="false">(H1124-I1124)*G1124</f>
        <v>228.000000000002</v>
      </c>
      <c r="L1124" s="17" t="n">
        <f aca="false">IF(I1124=0,0,H1124/I1124-1)</f>
        <v>0.0116995073891626</v>
      </c>
      <c r="M1124" s="14" t="n">
        <v>1</v>
      </c>
      <c r="N1124" s="18" t="n">
        <v>0.018</v>
      </c>
    </row>
    <row r="1125" customFormat="false" ht="15" hidden="false" customHeight="false" outlineLevel="0" collapsed="false">
      <c r="A1125" s="12" t="s">
        <v>1184</v>
      </c>
      <c r="B1125" s="13" t="n">
        <v>45999</v>
      </c>
      <c r="C1125" s="12" t="str">
        <f aca="false">TEXT(B1125,"yyyy-mm")</f>
        <v>2025-12</v>
      </c>
      <c r="D1125" s="12" t="s">
        <v>61</v>
      </c>
      <c r="E1125" s="12" t="s">
        <v>43</v>
      </c>
      <c r="F1125" s="12" t="s">
        <v>44</v>
      </c>
      <c r="G1125" s="14" t="n">
        <v>1200</v>
      </c>
      <c r="H1125" s="15" t="n">
        <v>14.11</v>
      </c>
      <c r="I1125" s="15" t="n">
        <v>13.62</v>
      </c>
      <c r="J1125" s="16" t="n">
        <f aca="false">G1125*H1125</f>
        <v>16932</v>
      </c>
      <c r="K1125" s="16" t="n">
        <f aca="false">(H1125-I1125)*G1125</f>
        <v>588</v>
      </c>
      <c r="L1125" s="17" t="n">
        <f aca="false">IF(I1125=0,0,H1125/I1125-1)</f>
        <v>0.0359765051395007</v>
      </c>
      <c r="M1125" s="14" t="n">
        <v>1</v>
      </c>
      <c r="N1125" s="18" t="n">
        <v>0.015</v>
      </c>
    </row>
    <row r="1126" customFormat="false" ht="15" hidden="false" customHeight="false" outlineLevel="0" collapsed="false">
      <c r="A1126" s="12" t="s">
        <v>1185</v>
      </c>
      <c r="B1126" s="13" t="n">
        <v>46000</v>
      </c>
      <c r="C1126" s="12" t="str">
        <f aca="false">TEXT(B1126,"yyyy-mm")</f>
        <v>2025-12</v>
      </c>
      <c r="D1126" s="12" t="s">
        <v>80</v>
      </c>
      <c r="E1126" s="12" t="s">
        <v>81</v>
      </c>
      <c r="F1126" s="12" t="s">
        <v>82</v>
      </c>
      <c r="G1126" s="14" t="n">
        <v>600</v>
      </c>
      <c r="H1126" s="15" t="n">
        <v>20.05</v>
      </c>
      <c r="I1126" s="15" t="n">
        <v>20.22</v>
      </c>
      <c r="J1126" s="16" t="n">
        <f aca="false">G1126*H1126</f>
        <v>12030</v>
      </c>
      <c r="K1126" s="16" t="n">
        <f aca="false">(H1126-I1126)*G1126</f>
        <v>-101.999999999999</v>
      </c>
      <c r="L1126" s="17" t="n">
        <f aca="false">IF(I1126=0,0,H1126/I1126-1)</f>
        <v>-0.00840751730959433</v>
      </c>
      <c r="M1126" s="14" t="n">
        <v>1</v>
      </c>
      <c r="N1126" s="18" t="n">
        <v>0.036</v>
      </c>
    </row>
    <row r="1127" customFormat="false" ht="15" hidden="false" customHeight="false" outlineLevel="0" collapsed="false">
      <c r="A1127" s="12" t="s">
        <v>1186</v>
      </c>
      <c r="B1127" s="13" t="n">
        <v>46000</v>
      </c>
      <c r="C1127" s="12" t="str">
        <f aca="false">TEXT(B1127,"yyyy-mm")</f>
        <v>2025-12</v>
      </c>
      <c r="D1127" s="12" t="s">
        <v>58</v>
      </c>
      <c r="E1127" s="12" t="s">
        <v>59</v>
      </c>
      <c r="F1127" s="12" t="s">
        <v>55</v>
      </c>
      <c r="G1127" s="14" t="n">
        <v>400</v>
      </c>
      <c r="H1127" s="15" t="n">
        <v>23.98</v>
      </c>
      <c r="I1127" s="15" t="n">
        <v>22.85</v>
      </c>
      <c r="J1127" s="16" t="n">
        <f aca="false">G1127*H1127</f>
        <v>9592</v>
      </c>
      <c r="K1127" s="16" t="n">
        <f aca="false">(H1127-I1127)*G1127</f>
        <v>452</v>
      </c>
      <c r="L1127" s="17" t="n">
        <f aca="false">IF(I1127=0,0,H1127/I1127-1)</f>
        <v>0.0494529540481401</v>
      </c>
      <c r="M1127" s="14" t="n">
        <v>1</v>
      </c>
      <c r="N1127" s="18" t="n">
        <v>0.021</v>
      </c>
    </row>
    <row r="1128" customFormat="false" ht="15" hidden="false" customHeight="false" outlineLevel="0" collapsed="false">
      <c r="A1128" s="12" t="s">
        <v>1187</v>
      </c>
      <c r="B1128" s="13" t="n">
        <v>46001</v>
      </c>
      <c r="C1128" s="12" t="str">
        <f aca="false">TEXT(B1128,"yyyy-mm")</f>
        <v>2025-12</v>
      </c>
      <c r="D1128" s="12" t="s">
        <v>58</v>
      </c>
      <c r="E1128" s="12" t="s">
        <v>59</v>
      </c>
      <c r="F1128" s="12" t="s">
        <v>55</v>
      </c>
      <c r="G1128" s="14" t="n">
        <v>1000</v>
      </c>
      <c r="H1128" s="15" t="n">
        <v>25.6</v>
      </c>
      <c r="I1128" s="15" t="n">
        <v>23.94</v>
      </c>
      <c r="J1128" s="16" t="n">
        <f aca="false">G1128*H1128</f>
        <v>25600</v>
      </c>
      <c r="K1128" s="16" t="n">
        <f aca="false">(H1128-I1128)*G1128</f>
        <v>1660</v>
      </c>
      <c r="L1128" s="17" t="n">
        <f aca="false">IF(I1128=0,0,H1128/I1128-1)</f>
        <v>0.0693400167084377</v>
      </c>
      <c r="M1128" s="14" t="n">
        <v>1</v>
      </c>
      <c r="N1128" s="18" t="n">
        <v>0.034</v>
      </c>
    </row>
    <row r="1129" customFormat="false" ht="15" hidden="false" customHeight="false" outlineLevel="0" collapsed="false">
      <c r="A1129" s="12" t="s">
        <v>1188</v>
      </c>
      <c r="B1129" s="13" t="n">
        <v>46001</v>
      </c>
      <c r="C1129" s="12" t="str">
        <f aca="false">TEXT(B1129,"yyyy-mm")</f>
        <v>2025-12</v>
      </c>
      <c r="D1129" s="12" t="s">
        <v>61</v>
      </c>
      <c r="E1129" s="12" t="s">
        <v>43</v>
      </c>
      <c r="F1129" s="12" t="s">
        <v>44</v>
      </c>
      <c r="G1129" s="14" t="n">
        <v>200</v>
      </c>
      <c r="H1129" s="15" t="n">
        <v>14.35</v>
      </c>
      <c r="I1129" s="15" t="n">
        <v>13.67</v>
      </c>
      <c r="J1129" s="16" t="n">
        <f aca="false">G1129*H1129</f>
        <v>2870</v>
      </c>
      <c r="K1129" s="16" t="n">
        <f aca="false">(H1129-I1129)*G1129</f>
        <v>136</v>
      </c>
      <c r="L1129" s="17" t="n">
        <f aca="false">IF(I1129=0,0,H1129/I1129-1)</f>
        <v>0.0497439648866129</v>
      </c>
      <c r="M1129" s="14" t="n">
        <v>1</v>
      </c>
      <c r="N1129" s="18" t="n">
        <v>0.024</v>
      </c>
    </row>
    <row r="1130" customFormat="false" ht="15" hidden="false" customHeight="false" outlineLevel="0" collapsed="false">
      <c r="A1130" s="12" t="s">
        <v>1189</v>
      </c>
      <c r="B1130" s="13" t="n">
        <v>46001</v>
      </c>
      <c r="C1130" s="12" t="str">
        <f aca="false">TEXT(B1130,"yyyy-mm")</f>
        <v>2025-12</v>
      </c>
      <c r="D1130" s="12" t="s">
        <v>61</v>
      </c>
      <c r="E1130" s="12" t="s">
        <v>43</v>
      </c>
      <c r="F1130" s="12" t="s">
        <v>44</v>
      </c>
      <c r="G1130" s="14" t="n">
        <v>2000</v>
      </c>
      <c r="H1130" s="15" t="n">
        <v>14.49</v>
      </c>
      <c r="I1130" s="15" t="n">
        <v>13.54</v>
      </c>
      <c r="J1130" s="16" t="n">
        <f aca="false">G1130*H1130</f>
        <v>28980</v>
      </c>
      <c r="K1130" s="16" t="n">
        <f aca="false">(H1130-I1130)*G1130</f>
        <v>1900</v>
      </c>
      <c r="L1130" s="17" t="n">
        <f aca="false">IF(I1130=0,0,H1130/I1130-1)</f>
        <v>0.0701624815361892</v>
      </c>
      <c r="M1130" s="14" t="n">
        <v>1</v>
      </c>
      <c r="N1130" s="18" t="n">
        <v>0.012</v>
      </c>
    </row>
    <row r="1131" customFormat="false" ht="15" hidden="false" customHeight="false" outlineLevel="0" collapsed="false">
      <c r="A1131" s="12" t="s">
        <v>1190</v>
      </c>
      <c r="B1131" s="13" t="n">
        <v>46001</v>
      </c>
      <c r="C1131" s="12" t="str">
        <f aca="false">TEXT(B1131,"yyyy-mm")</f>
        <v>2025-12</v>
      </c>
      <c r="D1131" s="12" t="s">
        <v>80</v>
      </c>
      <c r="E1131" s="12" t="s">
        <v>81</v>
      </c>
      <c r="F1131" s="12" t="s">
        <v>82</v>
      </c>
      <c r="G1131" s="14" t="n">
        <v>800</v>
      </c>
      <c r="H1131" s="15" t="n">
        <v>19.61</v>
      </c>
      <c r="I1131" s="15" t="n">
        <v>19.94</v>
      </c>
      <c r="J1131" s="16" t="n">
        <f aca="false">G1131*H1131</f>
        <v>15688</v>
      </c>
      <c r="K1131" s="16" t="n">
        <f aca="false">(H1131-I1131)*G1131</f>
        <v>-264.000000000002</v>
      </c>
      <c r="L1131" s="17" t="n">
        <f aca="false">IF(I1131=0,0,H1131/I1131-1)</f>
        <v>-0.0165496489468406</v>
      </c>
      <c r="M1131" s="14" t="n">
        <v>1</v>
      </c>
      <c r="N1131" s="18" t="n">
        <v>0.025</v>
      </c>
    </row>
    <row r="1132" customFormat="false" ht="15" hidden="false" customHeight="false" outlineLevel="0" collapsed="false">
      <c r="A1132" s="12" t="s">
        <v>1191</v>
      </c>
      <c r="B1132" s="13" t="n">
        <v>46001</v>
      </c>
      <c r="C1132" s="12" t="str">
        <f aca="false">TEXT(B1132,"yyyy-mm")</f>
        <v>2025-12</v>
      </c>
      <c r="D1132" s="12" t="s">
        <v>111</v>
      </c>
      <c r="E1132" s="12" t="s">
        <v>76</v>
      </c>
      <c r="F1132" s="12" t="s">
        <v>77</v>
      </c>
      <c r="G1132" s="14" t="n">
        <v>600</v>
      </c>
      <c r="H1132" s="15" t="n">
        <v>17.22</v>
      </c>
      <c r="I1132" s="15" t="n">
        <v>17.32</v>
      </c>
      <c r="J1132" s="16" t="n">
        <f aca="false">G1132*H1132</f>
        <v>10332</v>
      </c>
      <c r="K1132" s="16" t="n">
        <f aca="false">(H1132-I1132)*G1132</f>
        <v>-60.0000000000009</v>
      </c>
      <c r="L1132" s="17" t="n">
        <f aca="false">IF(I1132=0,0,H1132/I1132-1)</f>
        <v>-0.00577367205542734</v>
      </c>
      <c r="M1132" s="14" t="n">
        <v>1</v>
      </c>
      <c r="N1132" s="18" t="n">
        <v>0.028</v>
      </c>
    </row>
    <row r="1133" customFormat="false" ht="15" hidden="false" customHeight="false" outlineLevel="0" collapsed="false">
      <c r="A1133" s="12" t="s">
        <v>1192</v>
      </c>
      <c r="B1133" s="13" t="n">
        <v>46001</v>
      </c>
      <c r="C1133" s="12" t="str">
        <f aca="false">TEXT(B1133,"yyyy-mm")</f>
        <v>2025-12</v>
      </c>
      <c r="D1133" s="12" t="s">
        <v>58</v>
      </c>
      <c r="E1133" s="12" t="s">
        <v>59</v>
      </c>
      <c r="F1133" s="12" t="s">
        <v>55</v>
      </c>
      <c r="G1133" s="14" t="n">
        <v>800</v>
      </c>
      <c r="H1133" s="15" t="n">
        <v>24.86</v>
      </c>
      <c r="I1133" s="15" t="n">
        <v>24.09</v>
      </c>
      <c r="J1133" s="16" t="n">
        <f aca="false">G1133*H1133</f>
        <v>19888</v>
      </c>
      <c r="K1133" s="16" t="n">
        <f aca="false">(H1133-I1133)*G1133</f>
        <v>616</v>
      </c>
      <c r="L1133" s="17" t="n">
        <f aca="false">IF(I1133=0,0,H1133/I1133-1)</f>
        <v>0.0319634703196348</v>
      </c>
      <c r="M1133" s="14" t="n">
        <v>1</v>
      </c>
      <c r="N1133" s="18" t="n">
        <v>0.019</v>
      </c>
    </row>
    <row r="1134" customFormat="false" ht="15" hidden="false" customHeight="false" outlineLevel="0" collapsed="false">
      <c r="A1134" s="12" t="s">
        <v>1193</v>
      </c>
      <c r="B1134" s="13" t="n">
        <v>46001</v>
      </c>
      <c r="C1134" s="12" t="str">
        <f aca="false">TEXT(B1134,"yyyy-mm")</f>
        <v>2025-12</v>
      </c>
      <c r="D1134" s="12" t="s">
        <v>75</v>
      </c>
      <c r="E1134" s="12" t="s">
        <v>76</v>
      </c>
      <c r="F1134" s="12" t="s">
        <v>77</v>
      </c>
      <c r="G1134" s="14" t="n">
        <v>600</v>
      </c>
      <c r="H1134" s="15" t="n">
        <v>20.97</v>
      </c>
      <c r="I1134" s="15" t="n">
        <v>20.4</v>
      </c>
      <c r="J1134" s="16" t="n">
        <f aca="false">G1134*H1134</f>
        <v>12582</v>
      </c>
      <c r="K1134" s="16" t="n">
        <f aca="false">(H1134-I1134)*G1134</f>
        <v>342</v>
      </c>
      <c r="L1134" s="17" t="n">
        <f aca="false">IF(I1134=0,0,H1134/I1134-1)</f>
        <v>0.0279411764705884</v>
      </c>
      <c r="M1134" s="14" t="n">
        <v>1</v>
      </c>
      <c r="N1134" s="18" t="n">
        <v>0.02</v>
      </c>
    </row>
    <row r="1135" customFormat="false" ht="15" hidden="false" customHeight="false" outlineLevel="0" collapsed="false">
      <c r="A1135" s="12" t="s">
        <v>1194</v>
      </c>
      <c r="B1135" s="13" t="n">
        <v>46001</v>
      </c>
      <c r="C1135" s="12" t="str">
        <f aca="false">TEXT(B1135,"yyyy-mm")</f>
        <v>2025-12</v>
      </c>
      <c r="D1135" s="12" t="s">
        <v>61</v>
      </c>
      <c r="E1135" s="12" t="s">
        <v>43</v>
      </c>
      <c r="F1135" s="12" t="s">
        <v>44</v>
      </c>
      <c r="G1135" s="14" t="n">
        <v>400</v>
      </c>
      <c r="H1135" s="15" t="n">
        <v>14.38</v>
      </c>
      <c r="I1135" s="15" t="n">
        <v>13.5</v>
      </c>
      <c r="J1135" s="16" t="n">
        <f aca="false">G1135*H1135</f>
        <v>5752</v>
      </c>
      <c r="K1135" s="16" t="n">
        <f aca="false">(H1135-I1135)*G1135</f>
        <v>352</v>
      </c>
      <c r="L1135" s="17" t="n">
        <f aca="false">IF(I1135=0,0,H1135/I1135-1)</f>
        <v>0.0651851851851852</v>
      </c>
      <c r="M1135" s="14" t="n">
        <v>1</v>
      </c>
      <c r="N1135" s="18" t="n">
        <v>0.009</v>
      </c>
    </row>
    <row r="1136" customFormat="false" ht="15" hidden="false" customHeight="false" outlineLevel="0" collapsed="false">
      <c r="A1136" s="12" t="s">
        <v>1195</v>
      </c>
      <c r="B1136" s="13" t="n">
        <v>46002</v>
      </c>
      <c r="C1136" s="12" t="str">
        <f aca="false">TEXT(B1136,"yyyy-mm")</f>
        <v>2025-12</v>
      </c>
      <c r="D1136" s="12" t="s">
        <v>58</v>
      </c>
      <c r="E1136" s="12" t="s">
        <v>76</v>
      </c>
      <c r="F1136" s="12" t="s">
        <v>77</v>
      </c>
      <c r="G1136" s="14" t="n">
        <v>1000</v>
      </c>
      <c r="H1136" s="15" t="n">
        <v>23.89</v>
      </c>
      <c r="I1136" s="15" t="n">
        <v>23.78</v>
      </c>
      <c r="J1136" s="16" t="n">
        <f aca="false">G1136*H1136</f>
        <v>23890</v>
      </c>
      <c r="K1136" s="16" t="n">
        <f aca="false">(H1136-I1136)*G1136</f>
        <v>109.999999999999</v>
      </c>
      <c r="L1136" s="17" t="n">
        <f aca="false">IF(I1136=0,0,H1136/I1136-1)</f>
        <v>0.00462573591253146</v>
      </c>
      <c r="M1136" s="14" t="n">
        <v>1</v>
      </c>
      <c r="N1136" s="18" t="n">
        <v>0.025</v>
      </c>
    </row>
    <row r="1137" customFormat="false" ht="15" hidden="false" customHeight="false" outlineLevel="0" collapsed="false">
      <c r="A1137" s="12" t="s">
        <v>1196</v>
      </c>
      <c r="B1137" s="13" t="n">
        <v>46002</v>
      </c>
      <c r="C1137" s="12" t="str">
        <f aca="false">TEXT(B1137,"yyyy-mm")</f>
        <v>2025-12</v>
      </c>
      <c r="D1137" s="12" t="s">
        <v>75</v>
      </c>
      <c r="E1137" s="12" t="s">
        <v>40</v>
      </c>
      <c r="F1137" s="12" t="s">
        <v>41</v>
      </c>
      <c r="G1137" s="14" t="n">
        <v>1600</v>
      </c>
      <c r="H1137" s="15" t="n">
        <v>20.29</v>
      </c>
      <c r="I1137" s="15" t="n">
        <v>19.91</v>
      </c>
      <c r="J1137" s="16" t="n">
        <f aca="false">G1137*H1137</f>
        <v>32464</v>
      </c>
      <c r="K1137" s="16" t="n">
        <f aca="false">(H1137-I1137)*G1137</f>
        <v>607.999999999998</v>
      </c>
      <c r="L1137" s="17" t="n">
        <f aca="false">IF(I1137=0,0,H1137/I1137-1)</f>
        <v>0.0190858864892014</v>
      </c>
      <c r="M1137" s="14" t="n">
        <v>1</v>
      </c>
      <c r="N1137" s="18" t="n">
        <v>0.012</v>
      </c>
    </row>
    <row r="1138" customFormat="false" ht="15" hidden="false" customHeight="false" outlineLevel="0" collapsed="false">
      <c r="A1138" s="12" t="s">
        <v>1197</v>
      </c>
      <c r="B1138" s="13" t="n">
        <v>46002</v>
      </c>
      <c r="C1138" s="12" t="str">
        <f aca="false">TEXT(B1138,"yyyy-mm")</f>
        <v>2025-12</v>
      </c>
      <c r="D1138" s="12" t="s">
        <v>53</v>
      </c>
      <c r="E1138" s="12" t="s">
        <v>49</v>
      </c>
      <c r="F1138" s="12" t="s">
        <v>50</v>
      </c>
      <c r="G1138" s="14" t="n">
        <v>600</v>
      </c>
      <c r="H1138" s="15" t="n">
        <v>12.92</v>
      </c>
      <c r="I1138" s="15" t="n">
        <v>13.42</v>
      </c>
      <c r="J1138" s="16" t="n">
        <f aca="false">G1138*H1138</f>
        <v>7752</v>
      </c>
      <c r="K1138" s="16" t="n">
        <f aca="false">(H1138-I1138)*G1138</f>
        <v>-300</v>
      </c>
      <c r="L1138" s="17" t="n">
        <f aca="false">IF(I1138=0,0,H1138/I1138-1)</f>
        <v>-0.03725782414307</v>
      </c>
      <c r="M1138" s="14" t="n">
        <v>1</v>
      </c>
      <c r="N1138" s="18" t="n">
        <v>0.027</v>
      </c>
    </row>
    <row r="1139" customFormat="false" ht="15" hidden="false" customHeight="false" outlineLevel="0" collapsed="false">
      <c r="A1139" s="12" t="s">
        <v>1198</v>
      </c>
      <c r="B1139" s="13" t="n">
        <v>46002</v>
      </c>
      <c r="C1139" s="12" t="str">
        <f aca="false">TEXT(B1139,"yyyy-mm")</f>
        <v>2025-12</v>
      </c>
      <c r="D1139" s="12" t="s">
        <v>80</v>
      </c>
      <c r="E1139" s="12" t="s">
        <v>81</v>
      </c>
      <c r="F1139" s="12" t="s">
        <v>82</v>
      </c>
      <c r="G1139" s="14" t="n">
        <v>400</v>
      </c>
      <c r="H1139" s="15" t="n">
        <v>19.79</v>
      </c>
      <c r="I1139" s="15" t="n">
        <v>20.39</v>
      </c>
      <c r="J1139" s="16" t="n">
        <f aca="false">G1139*H1139</f>
        <v>7916</v>
      </c>
      <c r="K1139" s="16" t="n">
        <f aca="false">(H1139-I1139)*G1139</f>
        <v>-240.000000000001</v>
      </c>
      <c r="L1139" s="17" t="n">
        <f aca="false">IF(I1139=0,0,H1139/I1139-1)</f>
        <v>-0.0294261893084846</v>
      </c>
      <c r="M1139" s="14" t="n">
        <v>1</v>
      </c>
      <c r="N1139" s="18" t="n">
        <v>0.02</v>
      </c>
    </row>
    <row r="1140" customFormat="false" ht="15" hidden="false" customHeight="false" outlineLevel="0" collapsed="false">
      <c r="A1140" s="12" t="s">
        <v>1199</v>
      </c>
      <c r="B1140" s="13" t="n">
        <v>46003</v>
      </c>
      <c r="C1140" s="12" t="str">
        <f aca="false">TEXT(B1140,"yyyy-mm")</f>
        <v>2025-12</v>
      </c>
      <c r="D1140" s="12" t="s">
        <v>39</v>
      </c>
      <c r="E1140" s="12" t="s">
        <v>49</v>
      </c>
      <c r="F1140" s="12" t="s">
        <v>50</v>
      </c>
      <c r="G1140" s="14" t="n">
        <v>600</v>
      </c>
      <c r="H1140" s="15" t="n">
        <v>17.2</v>
      </c>
      <c r="I1140" s="15" t="n">
        <v>17.1</v>
      </c>
      <c r="J1140" s="16" t="n">
        <f aca="false">G1140*H1140</f>
        <v>10320</v>
      </c>
      <c r="K1140" s="16" t="n">
        <f aca="false">(H1140-I1140)*G1140</f>
        <v>59.9999999999987</v>
      </c>
      <c r="L1140" s="17" t="n">
        <f aca="false">IF(I1140=0,0,H1140/I1140-1)</f>
        <v>0.00584795321637421</v>
      </c>
      <c r="M1140" s="14" t="n">
        <v>1</v>
      </c>
      <c r="N1140" s="18" t="n">
        <v>0.041</v>
      </c>
    </row>
    <row r="1141" customFormat="false" ht="15" hidden="false" customHeight="false" outlineLevel="0" collapsed="false">
      <c r="A1141" s="12" t="s">
        <v>1200</v>
      </c>
      <c r="B1141" s="13" t="n">
        <v>46003</v>
      </c>
      <c r="C1141" s="12" t="str">
        <f aca="false">TEXT(B1141,"yyyy-mm")</f>
        <v>2025-12</v>
      </c>
      <c r="D1141" s="12" t="s">
        <v>111</v>
      </c>
      <c r="E1141" s="12" t="s">
        <v>76</v>
      </c>
      <c r="F1141" s="12" t="s">
        <v>77</v>
      </c>
      <c r="G1141" s="14" t="n">
        <v>200</v>
      </c>
      <c r="H1141" s="15" t="n">
        <v>17.44</v>
      </c>
      <c r="I1141" s="15" t="n">
        <v>17.47</v>
      </c>
      <c r="J1141" s="16" t="n">
        <f aca="false">G1141*H1141</f>
        <v>3488</v>
      </c>
      <c r="K1141" s="16" t="n">
        <f aca="false">(H1141-I1141)*G1141</f>
        <v>-5.99999999999952</v>
      </c>
      <c r="L1141" s="17" t="n">
        <f aca="false">IF(I1141=0,0,H1141/I1141-1)</f>
        <v>-0.0017172295363479</v>
      </c>
      <c r="M1141" s="14" t="n">
        <v>1</v>
      </c>
      <c r="N1141" s="18" t="n">
        <v>0.033</v>
      </c>
    </row>
    <row r="1142" customFormat="false" ht="15" hidden="false" customHeight="false" outlineLevel="0" collapsed="false">
      <c r="A1142" s="12" t="s">
        <v>1201</v>
      </c>
      <c r="B1142" s="13" t="n">
        <v>46004</v>
      </c>
      <c r="C1142" s="12" t="str">
        <f aca="false">TEXT(B1142,"yyyy-mm")</f>
        <v>2025-12</v>
      </c>
      <c r="D1142" s="12" t="s">
        <v>53</v>
      </c>
      <c r="E1142" s="12" t="s">
        <v>49</v>
      </c>
      <c r="F1142" s="12" t="s">
        <v>50</v>
      </c>
      <c r="G1142" s="14" t="n">
        <v>1600</v>
      </c>
      <c r="H1142" s="15" t="n">
        <v>12.48</v>
      </c>
      <c r="I1142" s="15" t="n">
        <v>12.92</v>
      </c>
      <c r="J1142" s="16" t="n">
        <f aca="false">G1142*H1142</f>
        <v>19968</v>
      </c>
      <c r="K1142" s="16" t="n">
        <f aca="false">(H1142-I1142)*G1142</f>
        <v>-703.999999999999</v>
      </c>
      <c r="L1142" s="17" t="n">
        <f aca="false">IF(I1142=0,0,H1142/I1142-1)</f>
        <v>-0.0340557275541795</v>
      </c>
      <c r="M1142" s="14" t="n">
        <v>1</v>
      </c>
      <c r="N1142" s="18" t="n">
        <v>0.029</v>
      </c>
    </row>
    <row r="1143" customFormat="false" ht="15" hidden="false" customHeight="false" outlineLevel="0" collapsed="false">
      <c r="A1143" s="12" t="s">
        <v>1202</v>
      </c>
      <c r="B1143" s="13" t="n">
        <v>46004</v>
      </c>
      <c r="C1143" s="12" t="str">
        <f aca="false">TEXT(B1143,"yyyy-mm")</f>
        <v>2025-12</v>
      </c>
      <c r="D1143" s="12" t="s">
        <v>75</v>
      </c>
      <c r="E1143" s="12" t="s">
        <v>76</v>
      </c>
      <c r="F1143" s="12" t="s">
        <v>77</v>
      </c>
      <c r="G1143" s="14" t="n">
        <v>2000</v>
      </c>
      <c r="H1143" s="15" t="n">
        <v>20.92</v>
      </c>
      <c r="I1143" s="15" t="n">
        <v>20.67</v>
      </c>
      <c r="J1143" s="16" t="n">
        <f aca="false">G1143*H1143</f>
        <v>41840</v>
      </c>
      <c r="K1143" s="16" t="n">
        <f aca="false">(H1143-I1143)*G1143</f>
        <v>500</v>
      </c>
      <c r="L1143" s="17" t="n">
        <f aca="false">IF(I1143=0,0,H1143/I1143-1)</f>
        <v>0.0120948234155782</v>
      </c>
      <c r="M1143" s="14" t="n">
        <v>1</v>
      </c>
      <c r="N1143" s="18" t="n">
        <v>0.034</v>
      </c>
    </row>
    <row r="1144" customFormat="false" ht="15" hidden="false" customHeight="false" outlineLevel="0" collapsed="false">
      <c r="A1144" s="12" t="s">
        <v>1203</v>
      </c>
      <c r="B1144" s="13" t="n">
        <v>46004</v>
      </c>
      <c r="C1144" s="12" t="str">
        <f aca="false">TEXT(B1144,"yyyy-mm")</f>
        <v>2025-12</v>
      </c>
      <c r="D1144" s="12" t="s">
        <v>80</v>
      </c>
      <c r="E1144" s="12" t="s">
        <v>81</v>
      </c>
      <c r="F1144" s="12" t="s">
        <v>82</v>
      </c>
      <c r="G1144" s="14" t="n">
        <v>2000</v>
      </c>
      <c r="H1144" s="15" t="n">
        <v>20.25</v>
      </c>
      <c r="I1144" s="15" t="n">
        <v>20.19</v>
      </c>
      <c r="J1144" s="16" t="n">
        <f aca="false">G1144*H1144</f>
        <v>40500</v>
      </c>
      <c r="K1144" s="16" t="n">
        <f aca="false">(H1144-I1144)*G1144</f>
        <v>119.999999999997</v>
      </c>
      <c r="L1144" s="17" t="n">
        <f aca="false">IF(I1144=0,0,H1144/I1144-1)</f>
        <v>0.00297176820208023</v>
      </c>
      <c r="M1144" s="14" t="n">
        <v>1</v>
      </c>
      <c r="N1144" s="18" t="n">
        <v>0.02</v>
      </c>
    </row>
    <row r="1145" customFormat="false" ht="15" hidden="false" customHeight="false" outlineLevel="0" collapsed="false">
      <c r="A1145" s="12" t="s">
        <v>1204</v>
      </c>
      <c r="B1145" s="13" t="n">
        <v>46004</v>
      </c>
      <c r="C1145" s="12" t="str">
        <f aca="false">TEXT(B1145,"yyyy-mm")</f>
        <v>2025-12</v>
      </c>
      <c r="D1145" s="12" t="s">
        <v>80</v>
      </c>
      <c r="E1145" s="12" t="s">
        <v>81</v>
      </c>
      <c r="F1145" s="12" t="s">
        <v>82</v>
      </c>
      <c r="G1145" s="14" t="n">
        <v>400</v>
      </c>
      <c r="H1145" s="15" t="n">
        <v>20.38</v>
      </c>
      <c r="I1145" s="15" t="n">
        <v>20.49</v>
      </c>
      <c r="J1145" s="16" t="n">
        <f aca="false">G1145*H1145</f>
        <v>8152</v>
      </c>
      <c r="K1145" s="16" t="n">
        <f aca="false">(H1145-I1145)*G1145</f>
        <v>-43.9999999999998</v>
      </c>
      <c r="L1145" s="17" t="n">
        <f aca="false">IF(I1145=0,0,H1145/I1145-1)</f>
        <v>-0.00536847242557348</v>
      </c>
      <c r="M1145" s="14" t="n">
        <v>1</v>
      </c>
      <c r="N1145" s="18" t="n">
        <v>0.051</v>
      </c>
    </row>
    <row r="1146" customFormat="false" ht="15" hidden="false" customHeight="false" outlineLevel="0" collapsed="false">
      <c r="A1146" s="12" t="s">
        <v>1205</v>
      </c>
      <c r="B1146" s="13" t="n">
        <v>46005</v>
      </c>
      <c r="C1146" s="12" t="str">
        <f aca="false">TEXT(B1146,"yyyy-mm")</f>
        <v>2025-12</v>
      </c>
      <c r="D1146" s="12" t="s">
        <v>80</v>
      </c>
      <c r="E1146" s="12" t="s">
        <v>81</v>
      </c>
      <c r="F1146" s="12" t="s">
        <v>82</v>
      </c>
      <c r="G1146" s="14" t="n">
        <v>1600</v>
      </c>
      <c r="H1146" s="15" t="n">
        <v>18.75</v>
      </c>
      <c r="I1146" s="15" t="n">
        <v>19.75</v>
      </c>
      <c r="J1146" s="16" t="n">
        <f aca="false">G1146*H1146</f>
        <v>30000</v>
      </c>
      <c r="K1146" s="16" t="n">
        <f aca="false">(H1146-I1146)*G1146</f>
        <v>-1600</v>
      </c>
      <c r="L1146" s="17" t="n">
        <f aca="false">IF(I1146=0,0,H1146/I1146-1)</f>
        <v>-0.0506329113924051</v>
      </c>
      <c r="M1146" s="14" t="n">
        <v>0</v>
      </c>
      <c r="N1146" s="18" t="n">
        <v>0.031</v>
      </c>
    </row>
    <row r="1147" customFormat="false" ht="15" hidden="false" customHeight="false" outlineLevel="0" collapsed="false">
      <c r="A1147" s="12" t="s">
        <v>1206</v>
      </c>
      <c r="B1147" s="13" t="n">
        <v>46005</v>
      </c>
      <c r="C1147" s="12" t="str">
        <f aca="false">TEXT(B1147,"yyyy-mm")</f>
        <v>2025-12</v>
      </c>
      <c r="D1147" s="12" t="s">
        <v>39</v>
      </c>
      <c r="E1147" s="12" t="s">
        <v>46</v>
      </c>
      <c r="F1147" s="12" t="s">
        <v>47</v>
      </c>
      <c r="G1147" s="14" t="n">
        <v>1000</v>
      </c>
      <c r="H1147" s="15" t="n">
        <v>16.84</v>
      </c>
      <c r="I1147" s="15" t="n">
        <v>16.53</v>
      </c>
      <c r="J1147" s="16" t="n">
        <f aca="false">G1147*H1147</f>
        <v>16840</v>
      </c>
      <c r="K1147" s="16" t="n">
        <f aca="false">(H1147-I1147)*G1147</f>
        <v>309.999999999999</v>
      </c>
      <c r="L1147" s="17" t="n">
        <f aca="false">IF(I1147=0,0,H1147/I1147-1)</f>
        <v>0.0187537810042346</v>
      </c>
      <c r="M1147" s="14" t="n">
        <v>1</v>
      </c>
      <c r="N1147" s="18" t="n">
        <v>0.001</v>
      </c>
    </row>
    <row r="1148" customFormat="false" ht="15" hidden="false" customHeight="false" outlineLevel="0" collapsed="false">
      <c r="A1148" s="12" t="s">
        <v>1207</v>
      </c>
      <c r="B1148" s="13" t="n">
        <v>46005</v>
      </c>
      <c r="C1148" s="12" t="str">
        <f aca="false">TEXT(B1148,"yyyy-mm")</f>
        <v>2025-12</v>
      </c>
      <c r="D1148" s="12" t="s">
        <v>80</v>
      </c>
      <c r="E1148" s="12" t="s">
        <v>81</v>
      </c>
      <c r="F1148" s="12" t="s">
        <v>82</v>
      </c>
      <c r="G1148" s="14" t="n">
        <v>600</v>
      </c>
      <c r="H1148" s="15" t="n">
        <v>20.17</v>
      </c>
      <c r="I1148" s="15" t="n">
        <v>20.42</v>
      </c>
      <c r="J1148" s="16" t="n">
        <f aca="false">G1148*H1148</f>
        <v>12102</v>
      </c>
      <c r="K1148" s="16" t="n">
        <f aca="false">(H1148-I1148)*G1148</f>
        <v>-150</v>
      </c>
      <c r="L1148" s="17" t="n">
        <f aca="false">IF(I1148=0,0,H1148/I1148-1)</f>
        <v>-0.0122428991185113</v>
      </c>
      <c r="M1148" s="14" t="n">
        <v>1</v>
      </c>
      <c r="N1148" s="18" t="n">
        <v>0.028</v>
      </c>
    </row>
    <row r="1149" customFormat="false" ht="15" hidden="false" customHeight="false" outlineLevel="0" collapsed="false">
      <c r="A1149" s="12" t="s">
        <v>1208</v>
      </c>
      <c r="B1149" s="13" t="n">
        <v>46005</v>
      </c>
      <c r="C1149" s="12" t="str">
        <f aca="false">TEXT(B1149,"yyyy-mm")</f>
        <v>2025-12</v>
      </c>
      <c r="D1149" s="12" t="s">
        <v>61</v>
      </c>
      <c r="E1149" s="12" t="s">
        <v>36</v>
      </c>
      <c r="F1149" s="12" t="s">
        <v>37</v>
      </c>
      <c r="G1149" s="14" t="n">
        <v>600</v>
      </c>
      <c r="H1149" s="15" t="n">
        <v>14.18</v>
      </c>
      <c r="I1149" s="15" t="n">
        <v>13.92</v>
      </c>
      <c r="J1149" s="16" t="n">
        <f aca="false">G1149*H1149</f>
        <v>8508</v>
      </c>
      <c r="K1149" s="16" t="n">
        <f aca="false">(H1149-I1149)*G1149</f>
        <v>156</v>
      </c>
      <c r="L1149" s="17" t="n">
        <f aca="false">IF(I1149=0,0,H1149/I1149-1)</f>
        <v>0.0186781609195401</v>
      </c>
      <c r="M1149" s="14" t="n">
        <v>1</v>
      </c>
      <c r="N1149" s="18" t="n">
        <v>0.028</v>
      </c>
    </row>
    <row r="1150" customFormat="false" ht="15" hidden="false" customHeight="false" outlineLevel="0" collapsed="false">
      <c r="A1150" s="12" t="s">
        <v>1209</v>
      </c>
      <c r="B1150" s="13" t="n">
        <v>46005</v>
      </c>
      <c r="C1150" s="12" t="str">
        <f aca="false">TEXT(B1150,"yyyy-mm")</f>
        <v>2025-12</v>
      </c>
      <c r="D1150" s="12" t="s">
        <v>39</v>
      </c>
      <c r="E1150" s="12" t="s">
        <v>40</v>
      </c>
      <c r="F1150" s="12" t="s">
        <v>41</v>
      </c>
      <c r="G1150" s="14" t="n">
        <v>1000</v>
      </c>
      <c r="H1150" s="15" t="n">
        <v>17.38</v>
      </c>
      <c r="I1150" s="15" t="n">
        <v>17.05</v>
      </c>
      <c r="J1150" s="16" t="n">
        <f aca="false">G1150*H1150</f>
        <v>17380</v>
      </c>
      <c r="K1150" s="16" t="n">
        <f aca="false">(H1150-I1150)*G1150</f>
        <v>329.999999999998</v>
      </c>
      <c r="L1150" s="17" t="n">
        <f aca="false">IF(I1150=0,0,H1150/I1150-1)</f>
        <v>0.0193548387096774</v>
      </c>
      <c r="M1150" s="14" t="n">
        <v>1</v>
      </c>
      <c r="N1150" s="18" t="n">
        <v>0.012</v>
      </c>
    </row>
    <row r="1151" customFormat="false" ht="15" hidden="false" customHeight="false" outlineLevel="0" collapsed="false">
      <c r="A1151" s="12" t="s">
        <v>1210</v>
      </c>
      <c r="B1151" s="13" t="n">
        <v>46006</v>
      </c>
      <c r="C1151" s="12" t="str">
        <f aca="false">TEXT(B1151,"yyyy-mm")</f>
        <v>2025-12</v>
      </c>
      <c r="D1151" s="12" t="s">
        <v>58</v>
      </c>
      <c r="E1151" s="12" t="s">
        <v>76</v>
      </c>
      <c r="F1151" s="12" t="s">
        <v>77</v>
      </c>
      <c r="G1151" s="14" t="n">
        <v>2000</v>
      </c>
      <c r="H1151" s="15" t="n">
        <v>24.01</v>
      </c>
      <c r="I1151" s="15" t="n">
        <v>23.44</v>
      </c>
      <c r="J1151" s="16" t="n">
        <f aca="false">G1151*H1151</f>
        <v>48020</v>
      </c>
      <c r="K1151" s="16" t="n">
        <f aca="false">(H1151-I1151)*G1151</f>
        <v>1140</v>
      </c>
      <c r="L1151" s="17" t="n">
        <f aca="false">IF(I1151=0,0,H1151/I1151-1)</f>
        <v>0.0243174061433447</v>
      </c>
      <c r="M1151" s="14" t="n">
        <v>1</v>
      </c>
      <c r="N1151" s="18" t="n">
        <v>0.024</v>
      </c>
    </row>
    <row r="1152" customFormat="false" ht="15" hidden="false" customHeight="false" outlineLevel="0" collapsed="false">
      <c r="A1152" s="12" t="s">
        <v>1211</v>
      </c>
      <c r="B1152" s="13" t="n">
        <v>46006</v>
      </c>
      <c r="C1152" s="12" t="str">
        <f aca="false">TEXT(B1152,"yyyy-mm")</f>
        <v>2025-12</v>
      </c>
      <c r="D1152" s="12" t="s">
        <v>80</v>
      </c>
      <c r="E1152" s="12" t="s">
        <v>76</v>
      </c>
      <c r="F1152" s="12" t="s">
        <v>77</v>
      </c>
      <c r="G1152" s="14" t="n">
        <v>200</v>
      </c>
      <c r="H1152" s="15" t="n">
        <v>19.64</v>
      </c>
      <c r="I1152" s="15" t="n">
        <v>19.77</v>
      </c>
      <c r="J1152" s="16" t="n">
        <f aca="false">G1152*H1152</f>
        <v>3928</v>
      </c>
      <c r="K1152" s="16" t="n">
        <f aca="false">(H1152-I1152)*G1152</f>
        <v>-25.9999999999998</v>
      </c>
      <c r="L1152" s="17" t="n">
        <f aca="false">IF(I1152=0,0,H1152/I1152-1)</f>
        <v>-0.00657561962569542</v>
      </c>
      <c r="M1152" s="14" t="n">
        <v>1</v>
      </c>
      <c r="N1152" s="18" t="n">
        <v>0.035</v>
      </c>
    </row>
    <row r="1153" customFormat="false" ht="15" hidden="false" customHeight="false" outlineLevel="0" collapsed="false">
      <c r="A1153" s="12" t="s">
        <v>1212</v>
      </c>
      <c r="B1153" s="13" t="n">
        <v>46007</v>
      </c>
      <c r="C1153" s="12" t="str">
        <f aca="false">TEXT(B1153,"yyyy-mm")</f>
        <v>2025-12</v>
      </c>
      <c r="D1153" s="12" t="s">
        <v>111</v>
      </c>
      <c r="E1153" s="12" t="s">
        <v>76</v>
      </c>
      <c r="F1153" s="12" t="s">
        <v>77</v>
      </c>
      <c r="G1153" s="14" t="n">
        <v>400</v>
      </c>
      <c r="H1153" s="15" t="n">
        <v>17.16</v>
      </c>
      <c r="I1153" s="15" t="n">
        <v>17.01</v>
      </c>
      <c r="J1153" s="16" t="n">
        <f aca="false">G1153*H1153</f>
        <v>6864</v>
      </c>
      <c r="K1153" s="16" t="n">
        <f aca="false">(H1153-I1153)*G1153</f>
        <v>59.9999999999994</v>
      </c>
      <c r="L1153" s="17" t="n">
        <f aca="false">IF(I1153=0,0,H1153/I1153-1)</f>
        <v>0.00881834215167543</v>
      </c>
      <c r="M1153" s="14" t="n">
        <v>1</v>
      </c>
      <c r="N1153" s="18" t="n">
        <v>0.023</v>
      </c>
    </row>
    <row r="1154" customFormat="false" ht="15" hidden="false" customHeight="false" outlineLevel="0" collapsed="false">
      <c r="A1154" s="12" t="s">
        <v>1213</v>
      </c>
      <c r="B1154" s="13" t="n">
        <v>46007</v>
      </c>
      <c r="C1154" s="12" t="str">
        <f aca="false">TEXT(B1154,"yyyy-mm")</f>
        <v>2025-12</v>
      </c>
      <c r="D1154" s="12" t="s">
        <v>53</v>
      </c>
      <c r="E1154" s="12" t="s">
        <v>54</v>
      </c>
      <c r="F1154" s="12" t="s">
        <v>55</v>
      </c>
      <c r="G1154" s="14" t="n">
        <v>200</v>
      </c>
      <c r="H1154" s="15" t="n">
        <v>13.26</v>
      </c>
      <c r="I1154" s="15" t="n">
        <v>13.01</v>
      </c>
      <c r="J1154" s="16" t="n">
        <f aca="false">G1154*H1154</f>
        <v>2652</v>
      </c>
      <c r="K1154" s="16" t="n">
        <f aca="false">(H1154-I1154)*G1154</f>
        <v>50</v>
      </c>
      <c r="L1154" s="17" t="n">
        <f aca="false">IF(I1154=0,0,H1154/I1154-1)</f>
        <v>0.0192159877017679</v>
      </c>
      <c r="M1154" s="14" t="n">
        <v>1</v>
      </c>
      <c r="N1154" s="18" t="n">
        <v>0.019</v>
      </c>
    </row>
    <row r="1155" customFormat="false" ht="15" hidden="false" customHeight="false" outlineLevel="0" collapsed="false">
      <c r="A1155" s="12" t="s">
        <v>1214</v>
      </c>
      <c r="B1155" s="13" t="n">
        <v>46007</v>
      </c>
      <c r="C1155" s="12" t="str">
        <f aca="false">TEXT(B1155,"yyyy-mm")</f>
        <v>2025-12</v>
      </c>
      <c r="D1155" s="12" t="s">
        <v>39</v>
      </c>
      <c r="E1155" s="12" t="s">
        <v>49</v>
      </c>
      <c r="F1155" s="12" t="s">
        <v>50</v>
      </c>
      <c r="G1155" s="14" t="n">
        <v>1200</v>
      </c>
      <c r="H1155" s="15" t="n">
        <v>16.26</v>
      </c>
      <c r="I1155" s="15" t="n">
        <v>16.56</v>
      </c>
      <c r="J1155" s="16" t="n">
        <f aca="false">G1155*H1155</f>
        <v>19512</v>
      </c>
      <c r="K1155" s="16" t="n">
        <f aca="false">(H1155-I1155)*G1155</f>
        <v>-359.999999999997</v>
      </c>
      <c r="L1155" s="17" t="n">
        <f aca="false">IF(I1155=0,0,H1155/I1155-1)</f>
        <v>-0.0181159420289854</v>
      </c>
      <c r="M1155" s="14" t="n">
        <v>1</v>
      </c>
      <c r="N1155" s="18" t="n">
        <v>0.041</v>
      </c>
    </row>
    <row r="1156" customFormat="false" ht="15" hidden="false" customHeight="false" outlineLevel="0" collapsed="false">
      <c r="A1156" s="12" t="s">
        <v>1215</v>
      </c>
      <c r="B1156" s="13" t="n">
        <v>46008</v>
      </c>
      <c r="C1156" s="12" t="str">
        <f aca="false">TEXT(B1156,"yyyy-mm")</f>
        <v>2025-12</v>
      </c>
      <c r="D1156" s="12" t="s">
        <v>53</v>
      </c>
      <c r="E1156" s="12" t="s">
        <v>54</v>
      </c>
      <c r="F1156" s="12" t="s">
        <v>55</v>
      </c>
      <c r="G1156" s="14" t="n">
        <v>1200</v>
      </c>
      <c r="H1156" s="15" t="n">
        <v>13.76</v>
      </c>
      <c r="I1156" s="15" t="n">
        <v>13.38</v>
      </c>
      <c r="J1156" s="16" t="n">
        <f aca="false">G1156*H1156</f>
        <v>16512</v>
      </c>
      <c r="K1156" s="16" t="n">
        <f aca="false">(H1156-I1156)*G1156</f>
        <v>455.999999999999</v>
      </c>
      <c r="L1156" s="17" t="n">
        <f aca="false">IF(I1156=0,0,H1156/I1156-1)</f>
        <v>0.0284005979073243</v>
      </c>
      <c r="M1156" s="14" t="n">
        <v>1</v>
      </c>
      <c r="N1156" s="18" t="n">
        <v>0.018</v>
      </c>
    </row>
    <row r="1157" customFormat="false" ht="15" hidden="false" customHeight="false" outlineLevel="0" collapsed="false">
      <c r="A1157" s="12" t="s">
        <v>1216</v>
      </c>
      <c r="B1157" s="13" t="n">
        <v>46008</v>
      </c>
      <c r="C1157" s="12" t="str">
        <f aca="false">TEXT(B1157,"yyyy-mm")</f>
        <v>2025-12</v>
      </c>
      <c r="D1157" s="12" t="s">
        <v>75</v>
      </c>
      <c r="E1157" s="12" t="s">
        <v>76</v>
      </c>
      <c r="F1157" s="12" t="s">
        <v>77</v>
      </c>
      <c r="G1157" s="14" t="n">
        <v>200</v>
      </c>
      <c r="H1157" s="15" t="n">
        <v>20.98</v>
      </c>
      <c r="I1157" s="15" t="n">
        <v>20.65</v>
      </c>
      <c r="J1157" s="16" t="n">
        <f aca="false">G1157*H1157</f>
        <v>4196</v>
      </c>
      <c r="K1157" s="16" t="n">
        <f aca="false">(H1157-I1157)*G1157</f>
        <v>66.0000000000004</v>
      </c>
      <c r="L1157" s="17" t="n">
        <f aca="false">IF(I1157=0,0,H1157/I1157-1)</f>
        <v>0.0159806295399516</v>
      </c>
      <c r="M1157" s="14" t="n">
        <v>1</v>
      </c>
      <c r="N1157" s="18" t="n">
        <v>0.029</v>
      </c>
    </row>
    <row r="1158" customFormat="false" ht="15" hidden="false" customHeight="false" outlineLevel="0" collapsed="false">
      <c r="A1158" s="12" t="s">
        <v>1217</v>
      </c>
      <c r="B1158" s="13" t="n">
        <v>46009</v>
      </c>
      <c r="C1158" s="12" t="str">
        <f aca="false">TEXT(B1158,"yyyy-mm")</f>
        <v>2025-12</v>
      </c>
      <c r="D1158" s="12" t="s">
        <v>111</v>
      </c>
      <c r="E1158" s="12" t="s">
        <v>76</v>
      </c>
      <c r="F1158" s="12" t="s">
        <v>77</v>
      </c>
      <c r="G1158" s="14" t="n">
        <v>1000</v>
      </c>
      <c r="H1158" s="15" t="n">
        <v>17.66</v>
      </c>
      <c r="I1158" s="15" t="n">
        <v>17.17</v>
      </c>
      <c r="J1158" s="16" t="n">
        <f aca="false">G1158*H1158</f>
        <v>17660</v>
      </c>
      <c r="K1158" s="16" t="n">
        <f aca="false">(H1158-I1158)*G1158</f>
        <v>489.999999999998</v>
      </c>
      <c r="L1158" s="17" t="n">
        <f aca="false">IF(I1158=0,0,H1158/I1158-1)</f>
        <v>0.0285381479324403</v>
      </c>
      <c r="M1158" s="14" t="n">
        <v>1</v>
      </c>
      <c r="N1158" s="18" t="n">
        <v>0.015</v>
      </c>
    </row>
    <row r="1159" customFormat="false" ht="15" hidden="false" customHeight="false" outlineLevel="0" collapsed="false">
      <c r="A1159" s="12" t="s">
        <v>1218</v>
      </c>
      <c r="B1159" s="13" t="n">
        <v>46010</v>
      </c>
      <c r="C1159" s="12" t="str">
        <f aca="false">TEXT(B1159,"yyyy-mm")</f>
        <v>2025-12</v>
      </c>
      <c r="D1159" s="12" t="s">
        <v>61</v>
      </c>
      <c r="E1159" s="12" t="s">
        <v>43</v>
      </c>
      <c r="F1159" s="12" t="s">
        <v>44</v>
      </c>
      <c r="G1159" s="14" t="n">
        <v>600</v>
      </c>
      <c r="H1159" s="15" t="n">
        <v>14.48</v>
      </c>
      <c r="I1159" s="15" t="n">
        <v>13.91</v>
      </c>
      <c r="J1159" s="16" t="n">
        <f aca="false">G1159*H1159</f>
        <v>8688</v>
      </c>
      <c r="K1159" s="16" t="n">
        <f aca="false">(H1159-I1159)*G1159</f>
        <v>342</v>
      </c>
      <c r="L1159" s="17" t="n">
        <f aca="false">IF(I1159=0,0,H1159/I1159-1)</f>
        <v>0.0409777138749101</v>
      </c>
      <c r="M1159" s="14" t="n">
        <v>1</v>
      </c>
      <c r="N1159" s="18" t="n">
        <v>0.004</v>
      </c>
    </row>
    <row r="1160" customFormat="false" ht="15" hidden="false" customHeight="false" outlineLevel="0" collapsed="false">
      <c r="A1160" s="12" t="s">
        <v>1219</v>
      </c>
      <c r="B1160" s="13" t="n">
        <v>46010</v>
      </c>
      <c r="C1160" s="12" t="str">
        <f aca="false">TEXT(B1160,"yyyy-mm")</f>
        <v>2025-12</v>
      </c>
      <c r="D1160" s="12" t="s">
        <v>80</v>
      </c>
      <c r="E1160" s="12" t="s">
        <v>81</v>
      </c>
      <c r="F1160" s="12" t="s">
        <v>82</v>
      </c>
      <c r="G1160" s="14" t="n">
        <v>1600</v>
      </c>
      <c r="H1160" s="15" t="n">
        <v>18.72</v>
      </c>
      <c r="I1160" s="15" t="n">
        <v>19.53</v>
      </c>
      <c r="J1160" s="16" t="n">
        <f aca="false">G1160*H1160</f>
        <v>29952</v>
      </c>
      <c r="K1160" s="16" t="n">
        <f aca="false">(H1160-I1160)*G1160</f>
        <v>-1296</v>
      </c>
      <c r="L1160" s="17" t="n">
        <f aca="false">IF(I1160=0,0,H1160/I1160-1)</f>
        <v>-0.0414746543778803</v>
      </c>
      <c r="M1160" s="14" t="n">
        <v>1</v>
      </c>
      <c r="N1160" s="18" t="n">
        <v>0.039</v>
      </c>
    </row>
    <row r="1161" customFormat="false" ht="15" hidden="false" customHeight="false" outlineLevel="0" collapsed="false">
      <c r="A1161" s="12" t="s">
        <v>1220</v>
      </c>
      <c r="B1161" s="13" t="n">
        <v>46011</v>
      </c>
      <c r="C1161" s="12" t="str">
        <f aca="false">TEXT(B1161,"yyyy-mm")</f>
        <v>2025-12</v>
      </c>
      <c r="D1161" s="12" t="s">
        <v>111</v>
      </c>
      <c r="E1161" s="12" t="s">
        <v>76</v>
      </c>
      <c r="F1161" s="12" t="s">
        <v>77</v>
      </c>
      <c r="G1161" s="14" t="n">
        <v>1000</v>
      </c>
      <c r="H1161" s="15" t="n">
        <v>17.57</v>
      </c>
      <c r="I1161" s="15" t="n">
        <v>16.9</v>
      </c>
      <c r="J1161" s="16" t="n">
        <f aca="false">G1161*H1161</f>
        <v>17570</v>
      </c>
      <c r="K1161" s="16" t="n">
        <f aca="false">(H1161-I1161)*G1161</f>
        <v>670.000000000002</v>
      </c>
      <c r="L1161" s="17" t="n">
        <f aca="false">IF(I1161=0,0,H1161/I1161-1)</f>
        <v>0.0396449704142012</v>
      </c>
      <c r="M1161" s="14" t="n">
        <v>1</v>
      </c>
      <c r="N1161" s="18" t="n">
        <v>0.033</v>
      </c>
    </row>
    <row r="1162" customFormat="false" ht="15" hidden="false" customHeight="false" outlineLevel="0" collapsed="false">
      <c r="A1162" s="12" t="s">
        <v>1221</v>
      </c>
      <c r="B1162" s="13" t="n">
        <v>46011</v>
      </c>
      <c r="C1162" s="12" t="str">
        <f aca="false">TEXT(B1162,"yyyy-mm")</f>
        <v>2025-12</v>
      </c>
      <c r="D1162" s="12" t="s">
        <v>58</v>
      </c>
      <c r="E1162" s="12" t="s">
        <v>40</v>
      </c>
      <c r="F1162" s="12" t="s">
        <v>41</v>
      </c>
      <c r="G1162" s="14" t="n">
        <v>800</v>
      </c>
      <c r="H1162" s="15" t="n">
        <v>24.37</v>
      </c>
      <c r="I1162" s="15" t="n">
        <v>23.79</v>
      </c>
      <c r="J1162" s="16" t="n">
        <f aca="false">G1162*H1162</f>
        <v>19496</v>
      </c>
      <c r="K1162" s="16" t="n">
        <f aca="false">(H1162-I1162)*G1162</f>
        <v>464.000000000002</v>
      </c>
      <c r="L1162" s="17" t="n">
        <f aca="false">IF(I1162=0,0,H1162/I1162-1)</f>
        <v>0.0243799915931064</v>
      </c>
      <c r="M1162" s="14" t="n">
        <v>1</v>
      </c>
      <c r="N1162" s="18" t="n">
        <v>0.014</v>
      </c>
    </row>
    <row r="1163" customFormat="false" ht="15" hidden="false" customHeight="false" outlineLevel="0" collapsed="false">
      <c r="A1163" s="12" t="s">
        <v>1222</v>
      </c>
      <c r="B1163" s="13" t="n">
        <v>46011</v>
      </c>
      <c r="C1163" s="12" t="str">
        <f aca="false">TEXT(B1163,"yyyy-mm")</f>
        <v>2025-12</v>
      </c>
      <c r="D1163" s="12" t="s">
        <v>75</v>
      </c>
      <c r="E1163" s="12" t="s">
        <v>76</v>
      </c>
      <c r="F1163" s="12" t="s">
        <v>77</v>
      </c>
      <c r="G1163" s="14" t="n">
        <v>1600</v>
      </c>
      <c r="H1163" s="15" t="n">
        <v>20.81</v>
      </c>
      <c r="I1163" s="15" t="n">
        <v>21.02</v>
      </c>
      <c r="J1163" s="16" t="n">
        <f aca="false">G1163*H1163</f>
        <v>33296</v>
      </c>
      <c r="K1163" s="16" t="n">
        <f aca="false">(H1163-I1163)*G1163</f>
        <v>-336.000000000001</v>
      </c>
      <c r="L1163" s="17" t="n">
        <f aca="false">IF(I1163=0,0,H1163/I1163-1)</f>
        <v>-0.00999048525214086</v>
      </c>
      <c r="M1163" s="14" t="n">
        <v>1</v>
      </c>
      <c r="N1163" s="18" t="n">
        <v>0.011</v>
      </c>
    </row>
    <row r="1164" customFormat="false" ht="15" hidden="false" customHeight="false" outlineLevel="0" collapsed="false">
      <c r="A1164" s="12" t="s">
        <v>1223</v>
      </c>
      <c r="B1164" s="13" t="n">
        <v>46012</v>
      </c>
      <c r="C1164" s="12" t="str">
        <f aca="false">TEXT(B1164,"yyyy-mm")</f>
        <v>2025-12</v>
      </c>
      <c r="D1164" s="12" t="s">
        <v>53</v>
      </c>
      <c r="E1164" s="12" t="s">
        <v>49</v>
      </c>
      <c r="F1164" s="12" t="s">
        <v>50</v>
      </c>
      <c r="G1164" s="14" t="n">
        <v>1200</v>
      </c>
      <c r="H1164" s="15" t="n">
        <v>13</v>
      </c>
      <c r="I1164" s="15" t="n">
        <v>13.34</v>
      </c>
      <c r="J1164" s="16" t="n">
        <f aca="false">G1164*H1164</f>
        <v>15600</v>
      </c>
      <c r="K1164" s="16" t="n">
        <f aca="false">(H1164-I1164)*G1164</f>
        <v>-408</v>
      </c>
      <c r="L1164" s="17" t="n">
        <f aca="false">IF(I1164=0,0,H1164/I1164-1)</f>
        <v>-0.025487256371814</v>
      </c>
      <c r="M1164" s="14" t="n">
        <v>0</v>
      </c>
      <c r="N1164" s="18" t="n">
        <v>0.043</v>
      </c>
    </row>
    <row r="1165" customFormat="false" ht="15" hidden="false" customHeight="false" outlineLevel="0" collapsed="false">
      <c r="A1165" s="12" t="s">
        <v>1224</v>
      </c>
      <c r="B1165" s="13" t="n">
        <v>46012</v>
      </c>
      <c r="C1165" s="12" t="str">
        <f aca="false">TEXT(B1165,"yyyy-mm")</f>
        <v>2025-12</v>
      </c>
      <c r="D1165" s="12" t="s">
        <v>53</v>
      </c>
      <c r="E1165" s="12" t="s">
        <v>54</v>
      </c>
      <c r="F1165" s="12" t="s">
        <v>55</v>
      </c>
      <c r="G1165" s="14" t="n">
        <v>2000</v>
      </c>
      <c r="H1165" s="15" t="n">
        <v>13.42</v>
      </c>
      <c r="I1165" s="15" t="n">
        <v>13.08</v>
      </c>
      <c r="J1165" s="16" t="n">
        <f aca="false">G1165*H1165</f>
        <v>26840</v>
      </c>
      <c r="K1165" s="16" t="n">
        <f aca="false">(H1165-I1165)*G1165</f>
        <v>680</v>
      </c>
      <c r="L1165" s="17" t="n">
        <f aca="false">IF(I1165=0,0,H1165/I1165-1)</f>
        <v>0.0259938837920488</v>
      </c>
      <c r="M1165" s="14" t="n">
        <v>1</v>
      </c>
      <c r="N1165" s="18" t="n">
        <v>0.007</v>
      </c>
    </row>
    <row r="1166" customFormat="false" ht="15" hidden="false" customHeight="false" outlineLevel="0" collapsed="false">
      <c r="A1166" s="12" t="s">
        <v>1225</v>
      </c>
      <c r="B1166" s="13" t="n">
        <v>46012</v>
      </c>
      <c r="C1166" s="12" t="str">
        <f aca="false">TEXT(B1166,"yyyy-mm")</f>
        <v>2025-12</v>
      </c>
      <c r="D1166" s="12" t="s">
        <v>80</v>
      </c>
      <c r="E1166" s="12" t="s">
        <v>81</v>
      </c>
      <c r="F1166" s="12" t="s">
        <v>82</v>
      </c>
      <c r="G1166" s="14" t="n">
        <v>1200</v>
      </c>
      <c r="H1166" s="15" t="n">
        <v>20.09</v>
      </c>
      <c r="I1166" s="15" t="n">
        <v>20.46</v>
      </c>
      <c r="J1166" s="16" t="n">
        <f aca="false">G1166*H1166</f>
        <v>24108</v>
      </c>
      <c r="K1166" s="16" t="n">
        <f aca="false">(H1166-I1166)*G1166</f>
        <v>-444.000000000001</v>
      </c>
      <c r="L1166" s="17" t="n">
        <f aca="false">IF(I1166=0,0,H1166/I1166-1)</f>
        <v>-0.0180840664711633</v>
      </c>
      <c r="M1166" s="14" t="n">
        <v>1</v>
      </c>
      <c r="N1166" s="18" t="n">
        <v>0.032</v>
      </c>
    </row>
    <row r="1167" customFormat="false" ht="15" hidden="false" customHeight="false" outlineLevel="0" collapsed="false">
      <c r="A1167" s="12" t="s">
        <v>1226</v>
      </c>
      <c r="B1167" s="13" t="n">
        <v>46012</v>
      </c>
      <c r="C1167" s="12" t="str">
        <f aca="false">TEXT(B1167,"yyyy-mm")</f>
        <v>2025-12</v>
      </c>
      <c r="D1167" s="12" t="s">
        <v>53</v>
      </c>
      <c r="E1167" s="12" t="s">
        <v>54</v>
      </c>
      <c r="F1167" s="12" t="s">
        <v>55</v>
      </c>
      <c r="G1167" s="14" t="n">
        <v>1000</v>
      </c>
      <c r="H1167" s="15" t="n">
        <v>13.77</v>
      </c>
      <c r="I1167" s="15" t="n">
        <v>13.23</v>
      </c>
      <c r="J1167" s="16" t="n">
        <f aca="false">G1167*H1167</f>
        <v>13770</v>
      </c>
      <c r="K1167" s="16" t="n">
        <f aca="false">(H1167-I1167)*G1167</f>
        <v>539.999999999999</v>
      </c>
      <c r="L1167" s="17" t="n">
        <f aca="false">IF(I1167=0,0,H1167/I1167-1)</f>
        <v>0.0408163265306121</v>
      </c>
      <c r="M1167" s="14" t="n">
        <v>1</v>
      </c>
      <c r="N1167" s="18" t="n">
        <v>0.021</v>
      </c>
    </row>
    <row r="1168" customFormat="false" ht="15" hidden="false" customHeight="false" outlineLevel="0" collapsed="false">
      <c r="A1168" s="12" t="s">
        <v>1227</v>
      </c>
      <c r="B1168" s="13" t="n">
        <v>46012</v>
      </c>
      <c r="C1168" s="12" t="str">
        <f aca="false">TEXT(B1168,"yyyy-mm")</f>
        <v>2025-12</v>
      </c>
      <c r="D1168" s="12" t="s">
        <v>53</v>
      </c>
      <c r="E1168" s="12" t="s">
        <v>54</v>
      </c>
      <c r="F1168" s="12" t="s">
        <v>55</v>
      </c>
      <c r="G1168" s="14" t="n">
        <v>1000</v>
      </c>
      <c r="H1168" s="15" t="n">
        <v>13.79</v>
      </c>
      <c r="I1168" s="15" t="n">
        <v>13.19</v>
      </c>
      <c r="J1168" s="16" t="n">
        <f aca="false">G1168*H1168</f>
        <v>13790</v>
      </c>
      <c r="K1168" s="16" t="n">
        <f aca="false">(H1168-I1168)*G1168</f>
        <v>600</v>
      </c>
      <c r="L1168" s="17" t="n">
        <f aca="false">IF(I1168=0,0,H1168/I1168-1)</f>
        <v>0.0454890068233511</v>
      </c>
      <c r="M1168" s="14" t="n">
        <v>1</v>
      </c>
      <c r="N1168" s="18" t="n">
        <v>0.016</v>
      </c>
    </row>
    <row r="1169" customFormat="false" ht="15" hidden="false" customHeight="false" outlineLevel="0" collapsed="false">
      <c r="A1169" s="12" t="s">
        <v>1228</v>
      </c>
      <c r="B1169" s="13" t="n">
        <v>46012</v>
      </c>
      <c r="C1169" s="12" t="str">
        <f aca="false">TEXT(B1169,"yyyy-mm")</f>
        <v>2025-12</v>
      </c>
      <c r="D1169" s="12" t="s">
        <v>39</v>
      </c>
      <c r="E1169" s="12" t="s">
        <v>46</v>
      </c>
      <c r="F1169" s="12" t="s">
        <v>47</v>
      </c>
      <c r="G1169" s="14" t="n">
        <v>400</v>
      </c>
      <c r="H1169" s="15" t="n">
        <v>18.32</v>
      </c>
      <c r="I1169" s="15" t="n">
        <v>17.23</v>
      </c>
      <c r="J1169" s="16" t="n">
        <f aca="false">G1169*H1169</f>
        <v>7328</v>
      </c>
      <c r="K1169" s="16" t="n">
        <f aca="false">(H1169-I1169)*G1169</f>
        <v>436</v>
      </c>
      <c r="L1169" s="17" t="n">
        <f aca="false">IF(I1169=0,0,H1169/I1169-1)</f>
        <v>0.0632617527568196</v>
      </c>
      <c r="M1169" s="14" t="n">
        <v>1</v>
      </c>
      <c r="N1169" s="18" t="n">
        <v>0.01</v>
      </c>
    </row>
    <row r="1170" customFormat="false" ht="15" hidden="false" customHeight="false" outlineLevel="0" collapsed="false">
      <c r="A1170" s="12" t="s">
        <v>1229</v>
      </c>
      <c r="B1170" s="13" t="n">
        <v>46012</v>
      </c>
      <c r="C1170" s="12" t="str">
        <f aca="false">TEXT(B1170,"yyyy-mm")</f>
        <v>2025-12</v>
      </c>
      <c r="D1170" s="12" t="s">
        <v>53</v>
      </c>
      <c r="E1170" s="12" t="s">
        <v>49</v>
      </c>
      <c r="F1170" s="12" t="s">
        <v>50</v>
      </c>
      <c r="G1170" s="14" t="n">
        <v>400</v>
      </c>
      <c r="H1170" s="15" t="n">
        <v>12.31</v>
      </c>
      <c r="I1170" s="15" t="n">
        <v>12.86</v>
      </c>
      <c r="J1170" s="16" t="n">
        <f aca="false">G1170*H1170</f>
        <v>4924</v>
      </c>
      <c r="K1170" s="16" t="n">
        <f aca="false">(H1170-I1170)*G1170</f>
        <v>-220</v>
      </c>
      <c r="L1170" s="17" t="n">
        <f aca="false">IF(I1170=0,0,H1170/I1170-1)</f>
        <v>-0.0427682737169517</v>
      </c>
      <c r="M1170" s="14" t="n">
        <v>1</v>
      </c>
      <c r="N1170" s="18" t="n">
        <v>0.017</v>
      </c>
    </row>
    <row r="1171" customFormat="false" ht="15" hidden="false" customHeight="false" outlineLevel="0" collapsed="false">
      <c r="A1171" s="12" t="s">
        <v>1230</v>
      </c>
      <c r="B1171" s="13" t="n">
        <v>46013</v>
      </c>
      <c r="C1171" s="12" t="str">
        <f aca="false">TEXT(B1171,"yyyy-mm")</f>
        <v>2025-12</v>
      </c>
      <c r="D1171" s="12" t="s">
        <v>111</v>
      </c>
      <c r="E1171" s="12" t="s">
        <v>76</v>
      </c>
      <c r="F1171" s="12" t="s">
        <v>77</v>
      </c>
      <c r="G1171" s="14" t="n">
        <v>800</v>
      </c>
      <c r="H1171" s="15" t="n">
        <v>17.05</v>
      </c>
      <c r="I1171" s="15" t="n">
        <v>17.11</v>
      </c>
      <c r="J1171" s="16" t="n">
        <f aca="false">G1171*H1171</f>
        <v>13640</v>
      </c>
      <c r="K1171" s="16" t="n">
        <f aca="false">(H1171-I1171)*G1171</f>
        <v>-47.999999999999</v>
      </c>
      <c r="L1171" s="17" t="n">
        <f aca="false">IF(I1171=0,0,H1171/I1171-1)</f>
        <v>-0.00350672121566331</v>
      </c>
      <c r="M1171" s="14" t="n">
        <v>1</v>
      </c>
      <c r="N1171" s="18" t="n">
        <v>0.025</v>
      </c>
    </row>
    <row r="1172" customFormat="false" ht="15" hidden="false" customHeight="false" outlineLevel="0" collapsed="false">
      <c r="A1172" s="12" t="s">
        <v>1231</v>
      </c>
      <c r="B1172" s="13" t="n">
        <v>46013</v>
      </c>
      <c r="C1172" s="12" t="str">
        <f aca="false">TEXT(B1172,"yyyy-mm")</f>
        <v>2025-12</v>
      </c>
      <c r="D1172" s="12" t="s">
        <v>35</v>
      </c>
      <c r="E1172" s="12" t="s">
        <v>43</v>
      </c>
      <c r="F1172" s="12" t="s">
        <v>44</v>
      </c>
      <c r="G1172" s="14" t="n">
        <v>1200</v>
      </c>
      <c r="H1172" s="15" t="n">
        <v>16.4</v>
      </c>
      <c r="I1172" s="15" t="n">
        <v>15.51</v>
      </c>
      <c r="J1172" s="16" t="n">
        <f aca="false">G1172*H1172</f>
        <v>19680</v>
      </c>
      <c r="K1172" s="16" t="n">
        <f aca="false">(H1172-I1172)*G1172</f>
        <v>1068</v>
      </c>
      <c r="L1172" s="17" t="n">
        <f aca="false">IF(I1172=0,0,H1172/I1172-1)</f>
        <v>0.0573823339780786</v>
      </c>
      <c r="M1172" s="14" t="n">
        <v>1</v>
      </c>
      <c r="N1172" s="18" t="n">
        <v>0.016</v>
      </c>
    </row>
    <row r="1173" customFormat="false" ht="15" hidden="false" customHeight="false" outlineLevel="0" collapsed="false">
      <c r="A1173" s="12" t="s">
        <v>1232</v>
      </c>
      <c r="B1173" s="13" t="n">
        <v>46013</v>
      </c>
      <c r="C1173" s="12" t="str">
        <f aca="false">TEXT(B1173,"yyyy-mm")</f>
        <v>2025-12</v>
      </c>
      <c r="D1173" s="12" t="s">
        <v>39</v>
      </c>
      <c r="E1173" s="12" t="s">
        <v>49</v>
      </c>
      <c r="F1173" s="12" t="s">
        <v>50</v>
      </c>
      <c r="G1173" s="14" t="n">
        <v>1000</v>
      </c>
      <c r="H1173" s="15" t="n">
        <v>16.69</v>
      </c>
      <c r="I1173" s="15" t="n">
        <v>16.56</v>
      </c>
      <c r="J1173" s="16" t="n">
        <f aca="false">G1173*H1173</f>
        <v>16690</v>
      </c>
      <c r="K1173" s="16" t="n">
        <f aca="false">(H1173-I1173)*G1173</f>
        <v>130.000000000003</v>
      </c>
      <c r="L1173" s="17" t="n">
        <f aca="false">IF(I1173=0,0,H1173/I1173-1)</f>
        <v>0.00785024154589387</v>
      </c>
      <c r="M1173" s="14" t="n">
        <v>1</v>
      </c>
      <c r="N1173" s="18" t="n">
        <v>0.047</v>
      </c>
    </row>
    <row r="1174" customFormat="false" ht="15" hidden="false" customHeight="false" outlineLevel="0" collapsed="false">
      <c r="A1174" s="12" t="s">
        <v>1233</v>
      </c>
      <c r="B1174" s="13" t="n">
        <v>46014</v>
      </c>
      <c r="C1174" s="12" t="str">
        <f aca="false">TEXT(B1174,"yyyy-mm")</f>
        <v>2025-12</v>
      </c>
      <c r="D1174" s="12" t="s">
        <v>75</v>
      </c>
      <c r="E1174" s="12" t="s">
        <v>40</v>
      </c>
      <c r="F1174" s="12" t="s">
        <v>41</v>
      </c>
      <c r="G1174" s="14" t="n">
        <v>600</v>
      </c>
      <c r="H1174" s="15" t="n">
        <v>21.23</v>
      </c>
      <c r="I1174" s="15" t="n">
        <v>20.89</v>
      </c>
      <c r="J1174" s="16" t="n">
        <f aca="false">G1174*H1174</f>
        <v>12738</v>
      </c>
      <c r="K1174" s="16" t="n">
        <f aca="false">(H1174-I1174)*G1174</f>
        <v>204</v>
      </c>
      <c r="L1174" s="17" t="n">
        <f aca="false">IF(I1174=0,0,H1174/I1174-1)</f>
        <v>0.016275730014361</v>
      </c>
      <c r="M1174" s="14" t="n">
        <v>1</v>
      </c>
      <c r="N1174" s="18" t="n">
        <v>0.027</v>
      </c>
    </row>
    <row r="1175" customFormat="false" ht="15" hidden="false" customHeight="false" outlineLevel="0" collapsed="false">
      <c r="A1175" s="12" t="s">
        <v>1234</v>
      </c>
      <c r="B1175" s="13" t="n">
        <v>46014</v>
      </c>
      <c r="C1175" s="12" t="str">
        <f aca="false">TEXT(B1175,"yyyy-mm")</f>
        <v>2025-12</v>
      </c>
      <c r="D1175" s="12" t="s">
        <v>35</v>
      </c>
      <c r="E1175" s="12" t="s">
        <v>36</v>
      </c>
      <c r="F1175" s="12" t="s">
        <v>37</v>
      </c>
      <c r="G1175" s="14" t="n">
        <v>3200</v>
      </c>
      <c r="H1175" s="15" t="n">
        <v>15.48</v>
      </c>
      <c r="I1175" s="15" t="n">
        <v>15.65</v>
      </c>
      <c r="J1175" s="16" t="n">
        <f aca="false">G1175*H1175</f>
        <v>49536</v>
      </c>
      <c r="K1175" s="16" t="n">
        <f aca="false">(H1175-I1175)*G1175</f>
        <v>-544</v>
      </c>
      <c r="L1175" s="17" t="n">
        <f aca="false">IF(I1175=0,0,H1175/I1175-1)</f>
        <v>-0.0108626198083067</v>
      </c>
      <c r="M1175" s="14" t="n">
        <v>1</v>
      </c>
      <c r="N1175" s="18" t="n">
        <v>0.016</v>
      </c>
    </row>
    <row r="1176" customFormat="false" ht="15" hidden="false" customHeight="false" outlineLevel="0" collapsed="false">
      <c r="A1176" s="12" t="s">
        <v>1235</v>
      </c>
      <c r="B1176" s="13" t="n">
        <v>46014</v>
      </c>
      <c r="C1176" s="12" t="str">
        <f aca="false">TEXT(B1176,"yyyy-mm")</f>
        <v>2025-12</v>
      </c>
      <c r="D1176" s="12" t="s">
        <v>39</v>
      </c>
      <c r="E1176" s="12" t="s">
        <v>46</v>
      </c>
      <c r="F1176" s="12" t="s">
        <v>47</v>
      </c>
      <c r="G1176" s="14" t="n">
        <v>1000</v>
      </c>
      <c r="H1176" s="15" t="n">
        <v>18.13</v>
      </c>
      <c r="I1176" s="15" t="n">
        <v>16.62</v>
      </c>
      <c r="J1176" s="16" t="n">
        <f aca="false">G1176*H1176</f>
        <v>18130</v>
      </c>
      <c r="K1176" s="16" t="n">
        <f aca="false">(H1176-I1176)*G1176</f>
        <v>1510</v>
      </c>
      <c r="L1176" s="17" t="n">
        <f aca="false">IF(I1176=0,0,H1176/I1176-1)</f>
        <v>0.0908543922984355</v>
      </c>
      <c r="M1176" s="14" t="n">
        <v>1</v>
      </c>
      <c r="N1176" s="18" t="n">
        <v>0.006</v>
      </c>
    </row>
    <row r="1177" customFormat="false" ht="15" hidden="false" customHeight="false" outlineLevel="0" collapsed="false">
      <c r="A1177" s="12" t="s">
        <v>1236</v>
      </c>
      <c r="B1177" s="13" t="n">
        <v>46014</v>
      </c>
      <c r="C1177" s="12" t="str">
        <f aca="false">TEXT(B1177,"yyyy-mm")</f>
        <v>2025-12</v>
      </c>
      <c r="D1177" s="12" t="s">
        <v>35</v>
      </c>
      <c r="E1177" s="12" t="s">
        <v>43</v>
      </c>
      <c r="F1177" s="12" t="s">
        <v>44</v>
      </c>
      <c r="G1177" s="14" t="n">
        <v>2400</v>
      </c>
      <c r="H1177" s="15" t="n">
        <v>16.4</v>
      </c>
      <c r="I1177" s="15" t="n">
        <v>16.26</v>
      </c>
      <c r="J1177" s="16" t="n">
        <f aca="false">G1177*H1177</f>
        <v>39360</v>
      </c>
      <c r="K1177" s="16" t="n">
        <f aca="false">(H1177-I1177)*G1177</f>
        <v>335.999999999993</v>
      </c>
      <c r="L1177" s="17" t="n">
        <f aca="false">IF(I1177=0,0,H1177/I1177-1)</f>
        <v>0.00861008610086089</v>
      </c>
      <c r="M1177" s="14" t="n">
        <v>1</v>
      </c>
      <c r="N1177" s="18" t="n">
        <v>0.012</v>
      </c>
    </row>
    <row r="1178" customFormat="false" ht="15" hidden="false" customHeight="false" outlineLevel="0" collapsed="false">
      <c r="A1178" s="12" t="s">
        <v>1237</v>
      </c>
      <c r="B1178" s="13" t="n">
        <v>46014</v>
      </c>
      <c r="C1178" s="12" t="str">
        <f aca="false">TEXT(B1178,"yyyy-mm")</f>
        <v>2025-12</v>
      </c>
      <c r="D1178" s="12" t="s">
        <v>61</v>
      </c>
      <c r="E1178" s="12" t="s">
        <v>43</v>
      </c>
      <c r="F1178" s="12" t="s">
        <v>44</v>
      </c>
      <c r="G1178" s="14" t="n">
        <v>1200</v>
      </c>
      <c r="H1178" s="15" t="n">
        <v>14.21</v>
      </c>
      <c r="I1178" s="15" t="n">
        <v>13.4</v>
      </c>
      <c r="J1178" s="16" t="n">
        <f aca="false">G1178*H1178</f>
        <v>17052</v>
      </c>
      <c r="K1178" s="16" t="n">
        <f aca="false">(H1178-I1178)*G1178</f>
        <v>972.000000000001</v>
      </c>
      <c r="L1178" s="17" t="n">
        <f aca="false">IF(I1178=0,0,H1178/I1178-1)</f>
        <v>0.06044776119403</v>
      </c>
      <c r="M1178" s="14" t="n">
        <v>1</v>
      </c>
      <c r="N1178" s="18" t="n">
        <v>0.012</v>
      </c>
    </row>
    <row r="1179" customFormat="false" ht="15" hidden="false" customHeight="false" outlineLevel="0" collapsed="false">
      <c r="A1179" s="12" t="s">
        <v>1238</v>
      </c>
      <c r="B1179" s="13" t="n">
        <v>46015</v>
      </c>
      <c r="C1179" s="12" t="str">
        <f aca="false">TEXT(B1179,"yyyy-mm")</f>
        <v>2025-12</v>
      </c>
      <c r="D1179" s="12" t="s">
        <v>53</v>
      </c>
      <c r="E1179" s="12" t="s">
        <v>49</v>
      </c>
      <c r="F1179" s="12" t="s">
        <v>50</v>
      </c>
      <c r="G1179" s="14" t="n">
        <v>1000</v>
      </c>
      <c r="H1179" s="15" t="n">
        <v>13.42</v>
      </c>
      <c r="I1179" s="15" t="n">
        <v>13.28</v>
      </c>
      <c r="J1179" s="16" t="n">
        <f aca="false">G1179*H1179</f>
        <v>13420</v>
      </c>
      <c r="K1179" s="16" t="n">
        <f aca="false">(H1179-I1179)*G1179</f>
        <v>140.000000000001</v>
      </c>
      <c r="L1179" s="17" t="n">
        <f aca="false">IF(I1179=0,0,H1179/I1179-1)</f>
        <v>0.0105421686746989</v>
      </c>
      <c r="M1179" s="14" t="n">
        <v>1</v>
      </c>
      <c r="N1179" s="18" t="n">
        <v>0.033</v>
      </c>
    </row>
    <row r="1180" customFormat="false" ht="15" hidden="false" customHeight="false" outlineLevel="0" collapsed="false">
      <c r="A1180" s="12" t="s">
        <v>1239</v>
      </c>
      <c r="B1180" s="13" t="n">
        <v>46015</v>
      </c>
      <c r="C1180" s="12" t="str">
        <f aca="false">TEXT(B1180,"yyyy-mm")</f>
        <v>2025-12</v>
      </c>
      <c r="D1180" s="12" t="s">
        <v>39</v>
      </c>
      <c r="E1180" s="12" t="s">
        <v>49</v>
      </c>
      <c r="F1180" s="12" t="s">
        <v>50</v>
      </c>
      <c r="G1180" s="14" t="n">
        <v>800</v>
      </c>
      <c r="H1180" s="15" t="n">
        <v>15.57</v>
      </c>
      <c r="I1180" s="15" t="n">
        <v>16.35</v>
      </c>
      <c r="J1180" s="16" t="n">
        <f aca="false">G1180*H1180</f>
        <v>12456</v>
      </c>
      <c r="K1180" s="16" t="n">
        <f aca="false">(H1180-I1180)*G1180</f>
        <v>-624.000000000001</v>
      </c>
      <c r="L1180" s="17" t="n">
        <f aca="false">IF(I1180=0,0,H1180/I1180-1)</f>
        <v>-0.0477064220183487</v>
      </c>
      <c r="M1180" s="14" t="n">
        <v>1</v>
      </c>
      <c r="N1180" s="18" t="n">
        <v>0.025</v>
      </c>
    </row>
    <row r="1181" customFormat="false" ht="15" hidden="false" customHeight="false" outlineLevel="0" collapsed="false">
      <c r="A1181" s="12" t="s">
        <v>1240</v>
      </c>
      <c r="B1181" s="13" t="n">
        <v>46015</v>
      </c>
      <c r="C1181" s="12" t="str">
        <f aca="false">TEXT(B1181,"yyyy-mm")</f>
        <v>2025-12</v>
      </c>
      <c r="D1181" s="12" t="s">
        <v>53</v>
      </c>
      <c r="E1181" s="12" t="s">
        <v>54</v>
      </c>
      <c r="F1181" s="12" t="s">
        <v>55</v>
      </c>
      <c r="G1181" s="14" t="n">
        <v>400</v>
      </c>
      <c r="H1181" s="15" t="n">
        <v>13.27</v>
      </c>
      <c r="I1181" s="15" t="n">
        <v>12.89</v>
      </c>
      <c r="J1181" s="16" t="n">
        <f aca="false">G1181*H1181</f>
        <v>5308</v>
      </c>
      <c r="K1181" s="16" t="n">
        <f aca="false">(H1181-I1181)*G1181</f>
        <v>152</v>
      </c>
      <c r="L1181" s="17" t="n">
        <f aca="false">IF(I1181=0,0,H1181/I1181-1)</f>
        <v>0.0294802172226532</v>
      </c>
      <c r="M1181" s="14" t="n">
        <v>1</v>
      </c>
      <c r="N1181" s="18" t="n">
        <v>0.011</v>
      </c>
    </row>
    <row r="1182" customFormat="false" ht="15" hidden="false" customHeight="false" outlineLevel="0" collapsed="false">
      <c r="A1182" s="12" t="s">
        <v>1241</v>
      </c>
      <c r="B1182" s="13" t="n">
        <v>46016</v>
      </c>
      <c r="C1182" s="12" t="str">
        <f aca="false">TEXT(B1182,"yyyy-mm")</f>
        <v>2025-12</v>
      </c>
      <c r="D1182" s="12" t="s">
        <v>53</v>
      </c>
      <c r="E1182" s="12" t="s">
        <v>54</v>
      </c>
      <c r="F1182" s="12" t="s">
        <v>55</v>
      </c>
      <c r="G1182" s="14" t="n">
        <v>600</v>
      </c>
      <c r="H1182" s="15" t="n">
        <v>13.24</v>
      </c>
      <c r="I1182" s="15" t="n">
        <v>13.12</v>
      </c>
      <c r="J1182" s="16" t="n">
        <f aca="false">G1182*H1182</f>
        <v>7944</v>
      </c>
      <c r="K1182" s="16" t="n">
        <f aca="false">(H1182-I1182)*G1182</f>
        <v>72.0000000000006</v>
      </c>
      <c r="L1182" s="17" t="n">
        <f aca="false">IF(I1182=0,0,H1182/I1182-1)</f>
        <v>0.00914634146341475</v>
      </c>
      <c r="M1182" s="14" t="n">
        <v>1</v>
      </c>
      <c r="N1182" s="18" t="n">
        <v>0.02</v>
      </c>
    </row>
    <row r="1183" customFormat="false" ht="15" hidden="false" customHeight="false" outlineLevel="0" collapsed="false">
      <c r="A1183" s="12" t="s">
        <v>1242</v>
      </c>
      <c r="B1183" s="13" t="n">
        <v>46016</v>
      </c>
      <c r="C1183" s="12" t="str">
        <f aca="false">TEXT(B1183,"yyyy-mm")</f>
        <v>2025-12</v>
      </c>
      <c r="D1183" s="12" t="s">
        <v>58</v>
      </c>
      <c r="E1183" s="12" t="s">
        <v>40</v>
      </c>
      <c r="F1183" s="12" t="s">
        <v>41</v>
      </c>
      <c r="G1183" s="14" t="n">
        <v>2000</v>
      </c>
      <c r="H1183" s="15" t="n">
        <v>24.41</v>
      </c>
      <c r="I1183" s="15" t="n">
        <v>23.61</v>
      </c>
      <c r="J1183" s="16" t="n">
        <f aca="false">G1183*H1183</f>
        <v>48820</v>
      </c>
      <c r="K1183" s="16" t="n">
        <f aca="false">(H1183-I1183)*G1183</f>
        <v>1600</v>
      </c>
      <c r="L1183" s="17" t="n">
        <f aca="false">IF(I1183=0,0,H1183/I1183-1)</f>
        <v>0.0338839474798813</v>
      </c>
      <c r="M1183" s="14" t="n">
        <v>1</v>
      </c>
      <c r="N1183" s="18" t="n">
        <v>0.008</v>
      </c>
    </row>
    <row r="1184" customFormat="false" ht="15" hidden="false" customHeight="false" outlineLevel="0" collapsed="false">
      <c r="A1184" s="12" t="s">
        <v>1243</v>
      </c>
      <c r="B1184" s="13" t="n">
        <v>46016</v>
      </c>
      <c r="C1184" s="12" t="str">
        <f aca="false">TEXT(B1184,"yyyy-mm")</f>
        <v>2025-12</v>
      </c>
      <c r="D1184" s="12" t="s">
        <v>35</v>
      </c>
      <c r="E1184" s="12" t="s">
        <v>36</v>
      </c>
      <c r="F1184" s="12" t="s">
        <v>37</v>
      </c>
      <c r="G1184" s="14" t="n">
        <v>800</v>
      </c>
      <c r="H1184" s="15" t="n">
        <v>15.11</v>
      </c>
      <c r="I1184" s="15" t="n">
        <v>15.55</v>
      </c>
      <c r="J1184" s="16" t="n">
        <f aca="false">G1184*H1184</f>
        <v>12088</v>
      </c>
      <c r="K1184" s="16" t="n">
        <f aca="false">(H1184-I1184)*G1184</f>
        <v>-352.000000000001</v>
      </c>
      <c r="L1184" s="17" t="n">
        <f aca="false">IF(I1184=0,0,H1184/I1184-1)</f>
        <v>-0.0282958199356914</v>
      </c>
      <c r="M1184" s="14" t="n">
        <v>1</v>
      </c>
      <c r="N1184" s="18" t="n">
        <v>0.021</v>
      </c>
    </row>
    <row r="1185" customFormat="false" ht="15" hidden="false" customHeight="false" outlineLevel="0" collapsed="false">
      <c r="A1185" s="12" t="s">
        <v>1244</v>
      </c>
      <c r="B1185" s="13" t="n">
        <v>46016</v>
      </c>
      <c r="C1185" s="12" t="str">
        <f aca="false">TEXT(B1185,"yyyy-mm")</f>
        <v>2025-12</v>
      </c>
      <c r="D1185" s="12" t="s">
        <v>39</v>
      </c>
      <c r="E1185" s="12" t="s">
        <v>46</v>
      </c>
      <c r="F1185" s="12" t="s">
        <v>47</v>
      </c>
      <c r="G1185" s="14" t="n">
        <v>2000</v>
      </c>
      <c r="H1185" s="15" t="n">
        <v>18.19</v>
      </c>
      <c r="I1185" s="15" t="n">
        <v>17.09</v>
      </c>
      <c r="J1185" s="16" t="n">
        <f aca="false">G1185*H1185</f>
        <v>36380</v>
      </c>
      <c r="K1185" s="16" t="n">
        <f aca="false">(H1185-I1185)*G1185</f>
        <v>2200</v>
      </c>
      <c r="L1185" s="17" t="n">
        <f aca="false">IF(I1185=0,0,H1185/I1185-1)</f>
        <v>0.0643651258045641</v>
      </c>
      <c r="M1185" s="14" t="n">
        <v>1</v>
      </c>
      <c r="N1185" s="18" t="n">
        <v>0.009</v>
      </c>
    </row>
    <row r="1186" customFormat="false" ht="15" hidden="false" customHeight="false" outlineLevel="0" collapsed="false">
      <c r="A1186" s="12" t="s">
        <v>1245</v>
      </c>
      <c r="B1186" s="13" t="n">
        <v>46019</v>
      </c>
      <c r="C1186" s="12" t="str">
        <f aca="false">TEXT(B1186,"yyyy-mm")</f>
        <v>2025-12</v>
      </c>
      <c r="D1186" s="12" t="s">
        <v>80</v>
      </c>
      <c r="E1186" s="12" t="s">
        <v>81</v>
      </c>
      <c r="F1186" s="12" t="s">
        <v>82</v>
      </c>
      <c r="G1186" s="14" t="n">
        <v>1600</v>
      </c>
      <c r="H1186" s="15" t="n">
        <v>19.33</v>
      </c>
      <c r="I1186" s="15" t="n">
        <v>20.03</v>
      </c>
      <c r="J1186" s="16" t="n">
        <f aca="false">G1186*H1186</f>
        <v>30928</v>
      </c>
      <c r="K1186" s="16" t="n">
        <f aca="false">(H1186-I1186)*G1186</f>
        <v>-1120</v>
      </c>
      <c r="L1186" s="17" t="n">
        <f aca="false">IF(I1186=0,0,H1186/I1186-1)</f>
        <v>-0.0349475786320521</v>
      </c>
      <c r="M1186" s="14" t="n">
        <v>1</v>
      </c>
      <c r="N1186" s="18" t="n">
        <v>0.042</v>
      </c>
    </row>
    <row r="1187" customFormat="false" ht="15" hidden="false" customHeight="false" outlineLevel="0" collapsed="false">
      <c r="A1187" s="12" t="s">
        <v>1246</v>
      </c>
      <c r="B1187" s="13" t="n">
        <v>46019</v>
      </c>
      <c r="C1187" s="12" t="str">
        <f aca="false">TEXT(B1187,"yyyy-mm")</f>
        <v>2025-12</v>
      </c>
      <c r="D1187" s="12" t="s">
        <v>53</v>
      </c>
      <c r="E1187" s="12" t="s">
        <v>54</v>
      </c>
      <c r="F1187" s="12" t="s">
        <v>55</v>
      </c>
      <c r="G1187" s="14" t="n">
        <v>200</v>
      </c>
      <c r="H1187" s="15" t="n">
        <v>14.01</v>
      </c>
      <c r="I1187" s="15" t="n">
        <v>13.27</v>
      </c>
      <c r="J1187" s="16" t="n">
        <f aca="false">G1187*H1187</f>
        <v>2802</v>
      </c>
      <c r="K1187" s="16" t="n">
        <f aca="false">(H1187-I1187)*G1187</f>
        <v>148</v>
      </c>
      <c r="L1187" s="17" t="n">
        <f aca="false">IF(I1187=0,0,H1187/I1187-1)</f>
        <v>0.0557648831951771</v>
      </c>
      <c r="M1187" s="14" t="n">
        <v>1</v>
      </c>
      <c r="N1187" s="18" t="n">
        <v>0.017</v>
      </c>
    </row>
    <row r="1188" customFormat="false" ht="15" hidden="false" customHeight="false" outlineLevel="0" collapsed="false">
      <c r="A1188" s="12" t="s">
        <v>1247</v>
      </c>
      <c r="B1188" s="13" t="n">
        <v>46020</v>
      </c>
      <c r="C1188" s="12" t="str">
        <f aca="false">TEXT(B1188,"yyyy-mm")</f>
        <v>2025-12</v>
      </c>
      <c r="D1188" s="12" t="s">
        <v>39</v>
      </c>
      <c r="E1188" s="12" t="s">
        <v>49</v>
      </c>
      <c r="F1188" s="12" t="s">
        <v>50</v>
      </c>
      <c r="G1188" s="14" t="n">
        <v>1000</v>
      </c>
      <c r="H1188" s="15" t="n">
        <v>16.96</v>
      </c>
      <c r="I1188" s="15" t="n">
        <v>17.1</v>
      </c>
      <c r="J1188" s="16" t="n">
        <f aca="false">G1188*H1188</f>
        <v>16960</v>
      </c>
      <c r="K1188" s="16" t="n">
        <f aca="false">(H1188-I1188)*G1188</f>
        <v>-140.000000000001</v>
      </c>
      <c r="L1188" s="17" t="n">
        <f aca="false">IF(I1188=0,0,H1188/I1188-1)</f>
        <v>-0.00818713450292397</v>
      </c>
      <c r="M1188" s="14" t="n">
        <v>1</v>
      </c>
      <c r="N1188" s="18" t="n">
        <v>0.02</v>
      </c>
    </row>
    <row r="1189" customFormat="false" ht="15" hidden="false" customHeight="false" outlineLevel="0" collapsed="false">
      <c r="A1189" s="12" t="s">
        <v>1248</v>
      </c>
      <c r="B1189" s="13" t="n">
        <v>46021</v>
      </c>
      <c r="C1189" s="12" t="str">
        <f aca="false">TEXT(B1189,"yyyy-mm")</f>
        <v>2025-12</v>
      </c>
      <c r="D1189" s="12" t="s">
        <v>61</v>
      </c>
      <c r="E1189" s="12" t="s">
        <v>43</v>
      </c>
      <c r="F1189" s="12" t="s">
        <v>44</v>
      </c>
      <c r="G1189" s="14" t="n">
        <v>800</v>
      </c>
      <c r="H1189" s="15" t="n">
        <v>14.21</v>
      </c>
      <c r="I1189" s="15" t="n">
        <v>13.68</v>
      </c>
      <c r="J1189" s="16" t="n">
        <f aca="false">G1189*H1189</f>
        <v>11368</v>
      </c>
      <c r="K1189" s="16" t="n">
        <f aca="false">(H1189-I1189)*G1189</f>
        <v>424.000000000001</v>
      </c>
      <c r="L1189" s="17" t="n">
        <f aca="false">IF(I1189=0,0,H1189/I1189-1)</f>
        <v>0.0387426900584795</v>
      </c>
      <c r="M1189" s="14" t="n">
        <v>1</v>
      </c>
      <c r="N1189" s="18" t="n">
        <v>0.012</v>
      </c>
    </row>
    <row r="1190" customFormat="false" ht="15" hidden="false" customHeight="false" outlineLevel="0" collapsed="false">
      <c r="A1190" s="12" t="s">
        <v>1249</v>
      </c>
      <c r="B1190" s="13" t="n">
        <v>46021</v>
      </c>
      <c r="C1190" s="12" t="str">
        <f aca="false">TEXT(B1190,"yyyy-mm")</f>
        <v>2025-12</v>
      </c>
      <c r="D1190" s="12" t="s">
        <v>111</v>
      </c>
      <c r="E1190" s="12" t="s">
        <v>76</v>
      </c>
      <c r="F1190" s="12" t="s">
        <v>77</v>
      </c>
      <c r="G1190" s="14" t="n">
        <v>2000</v>
      </c>
      <c r="H1190" s="15" t="n">
        <v>17.38</v>
      </c>
      <c r="I1190" s="15" t="n">
        <v>16.73</v>
      </c>
      <c r="J1190" s="16" t="n">
        <f aca="false">G1190*H1190</f>
        <v>34760</v>
      </c>
      <c r="K1190" s="16" t="n">
        <f aca="false">(H1190-I1190)*G1190</f>
        <v>1300</v>
      </c>
      <c r="L1190" s="17" t="n">
        <f aca="false">IF(I1190=0,0,H1190/I1190-1)</f>
        <v>0.0388523610280931</v>
      </c>
      <c r="M1190" s="14" t="n">
        <v>0</v>
      </c>
      <c r="N1190" s="18" t="n">
        <v>0.022</v>
      </c>
    </row>
    <row r="1191" customFormat="false" ht="15" hidden="false" customHeight="false" outlineLevel="0" collapsed="false">
      <c r="A1191" s="12" t="s">
        <v>1250</v>
      </c>
      <c r="B1191" s="13" t="n">
        <v>46021</v>
      </c>
      <c r="C1191" s="12" t="str">
        <f aca="false">TEXT(B1191,"yyyy-mm")</f>
        <v>2025-12</v>
      </c>
      <c r="D1191" s="12" t="s">
        <v>111</v>
      </c>
      <c r="E1191" s="12" t="s">
        <v>76</v>
      </c>
      <c r="F1191" s="12" t="s">
        <v>77</v>
      </c>
      <c r="G1191" s="14" t="n">
        <v>200</v>
      </c>
      <c r="H1191" s="15" t="n">
        <v>17.55</v>
      </c>
      <c r="I1191" s="15" t="n">
        <v>17.08</v>
      </c>
      <c r="J1191" s="16" t="n">
        <f aca="false">G1191*H1191</f>
        <v>3510</v>
      </c>
      <c r="K1191" s="16" t="n">
        <f aca="false">(H1191-I1191)*G1191</f>
        <v>94.0000000000005</v>
      </c>
      <c r="L1191" s="17" t="n">
        <f aca="false">IF(I1191=0,0,H1191/I1191-1)</f>
        <v>0.0275175644028105</v>
      </c>
      <c r="M1191" s="14" t="n">
        <v>1</v>
      </c>
      <c r="N1191" s="18" t="n">
        <v>0.035</v>
      </c>
    </row>
    <row r="1192" customFormat="false" ht="15" hidden="false" customHeight="false" outlineLevel="0" collapsed="false">
      <c r="A1192" s="12" t="s">
        <v>1251</v>
      </c>
      <c r="B1192" s="13" t="n">
        <v>46021</v>
      </c>
      <c r="C1192" s="12" t="str">
        <f aca="false">TEXT(B1192,"yyyy-mm")</f>
        <v>2025-12</v>
      </c>
      <c r="D1192" s="12" t="s">
        <v>111</v>
      </c>
      <c r="E1192" s="12" t="s">
        <v>92</v>
      </c>
      <c r="F1192" s="12" t="s">
        <v>93</v>
      </c>
      <c r="G1192" s="14" t="n">
        <v>400</v>
      </c>
      <c r="H1192" s="15" t="n">
        <v>15.85</v>
      </c>
      <c r="I1192" s="15" t="n">
        <v>17.26</v>
      </c>
      <c r="J1192" s="16" t="n">
        <f aca="false">G1192*H1192</f>
        <v>6340</v>
      </c>
      <c r="K1192" s="16" t="n">
        <f aca="false">(H1192-I1192)*G1192</f>
        <v>-564.000000000001</v>
      </c>
      <c r="L1192" s="17" t="n">
        <f aca="false">IF(I1192=0,0,H1192/I1192-1)</f>
        <v>-0.081691772885284</v>
      </c>
      <c r="M1192" s="14" t="n">
        <v>0</v>
      </c>
      <c r="N1192" s="18" t="n">
        <v>0.051</v>
      </c>
    </row>
    <row r="1193" customFormat="false" ht="15" hidden="false" customHeight="false" outlineLevel="0" collapsed="false">
      <c r="A1193" s="12" t="s">
        <v>1252</v>
      </c>
      <c r="B1193" s="13" t="n">
        <v>46022</v>
      </c>
      <c r="C1193" s="12" t="str">
        <f aca="false">TEXT(B1193,"yyyy-mm")</f>
        <v>2025-12</v>
      </c>
      <c r="D1193" s="12" t="s">
        <v>80</v>
      </c>
      <c r="E1193" s="12" t="s">
        <v>81</v>
      </c>
      <c r="F1193" s="12" t="s">
        <v>82</v>
      </c>
      <c r="G1193" s="14" t="n">
        <v>800</v>
      </c>
      <c r="H1193" s="15" t="n">
        <v>19.6</v>
      </c>
      <c r="I1193" s="15" t="n">
        <v>20.67</v>
      </c>
      <c r="J1193" s="16" t="n">
        <f aca="false">G1193*H1193</f>
        <v>15680</v>
      </c>
      <c r="K1193" s="16" t="n">
        <f aca="false">(H1193-I1193)*G1193</f>
        <v>-856</v>
      </c>
      <c r="L1193" s="17" t="n">
        <f aca="false">IF(I1193=0,0,H1193/I1193-1)</f>
        <v>-0.0517658442186744</v>
      </c>
      <c r="M1193" s="14" t="n">
        <v>1</v>
      </c>
      <c r="N1193" s="18" t="n">
        <v>0.041</v>
      </c>
    </row>
    <row r="1194" customFormat="false" ht="15" hidden="false" customHeight="false" outlineLevel="0" collapsed="false">
      <c r="A1194" s="12" t="s">
        <v>1253</v>
      </c>
      <c r="B1194" s="13" t="n">
        <v>46022</v>
      </c>
      <c r="C1194" s="12" t="str">
        <f aca="false">TEXT(B1194,"yyyy-mm")</f>
        <v>2025-12</v>
      </c>
      <c r="D1194" s="12" t="s">
        <v>80</v>
      </c>
      <c r="E1194" s="12" t="s">
        <v>81</v>
      </c>
      <c r="F1194" s="12" t="s">
        <v>82</v>
      </c>
      <c r="G1194" s="14" t="n">
        <v>200</v>
      </c>
      <c r="H1194" s="15" t="n">
        <v>20.17</v>
      </c>
      <c r="I1194" s="15" t="n">
        <v>20.58</v>
      </c>
      <c r="J1194" s="16" t="n">
        <f aca="false">G1194*H1194</f>
        <v>4034</v>
      </c>
      <c r="K1194" s="16" t="n">
        <f aca="false">(H1194-I1194)*G1194</f>
        <v>-81.9999999999993</v>
      </c>
      <c r="L1194" s="17" t="n">
        <f aca="false">IF(I1194=0,0,H1194/I1194-1)</f>
        <v>-0.019922254616132</v>
      </c>
      <c r="M1194" s="14" t="n">
        <v>1</v>
      </c>
      <c r="N1194" s="18" t="n">
        <v>0.053</v>
      </c>
    </row>
    <row r="1195" customFormat="false" ht="15" hidden="false" customHeight="false" outlineLevel="0" collapsed="false">
      <c r="A1195" s="12" t="s">
        <v>1254</v>
      </c>
      <c r="B1195" s="13" t="n">
        <v>46022</v>
      </c>
      <c r="C1195" s="12" t="str">
        <f aca="false">TEXT(B1195,"yyyy-mm")</f>
        <v>2025-12</v>
      </c>
      <c r="D1195" s="12" t="s">
        <v>53</v>
      </c>
      <c r="E1195" s="12" t="s">
        <v>54</v>
      </c>
      <c r="F1195" s="12" t="s">
        <v>55</v>
      </c>
      <c r="G1195" s="14" t="n">
        <v>800</v>
      </c>
      <c r="H1195" s="15" t="n">
        <v>13.86</v>
      </c>
      <c r="I1195" s="15" t="n">
        <v>13.25</v>
      </c>
      <c r="J1195" s="16" t="n">
        <f aca="false">G1195*H1195</f>
        <v>11088</v>
      </c>
      <c r="K1195" s="16" t="n">
        <f aca="false">(H1195-I1195)*G1195</f>
        <v>488</v>
      </c>
      <c r="L1195" s="17" t="n">
        <f aca="false">IF(I1195=0,0,H1195/I1195-1)</f>
        <v>0.0460377358490565</v>
      </c>
      <c r="M1195" s="14" t="n">
        <v>1</v>
      </c>
      <c r="N1195" s="18" t="n">
        <v>0.019</v>
      </c>
    </row>
    <row r="1196" customFormat="false" ht="15" hidden="false" customHeight="false" outlineLevel="0" collapsed="false">
      <c r="A1196" s="12" t="s">
        <v>1255</v>
      </c>
      <c r="B1196" s="13" t="n">
        <v>46022</v>
      </c>
      <c r="C1196" s="12" t="str">
        <f aca="false">TEXT(B1196,"yyyy-mm")</f>
        <v>2025-12</v>
      </c>
      <c r="D1196" s="12" t="s">
        <v>53</v>
      </c>
      <c r="E1196" s="12" t="s">
        <v>54</v>
      </c>
      <c r="F1196" s="12" t="s">
        <v>55</v>
      </c>
      <c r="G1196" s="14" t="n">
        <v>1600</v>
      </c>
      <c r="H1196" s="15" t="n">
        <v>13.93</v>
      </c>
      <c r="I1196" s="15" t="n">
        <v>13.56</v>
      </c>
      <c r="J1196" s="16" t="n">
        <f aca="false">G1196*H1196</f>
        <v>22288</v>
      </c>
      <c r="K1196" s="16" t="n">
        <f aca="false">(H1196-I1196)*G1196</f>
        <v>591.999999999999</v>
      </c>
      <c r="L1196" s="17" t="n">
        <f aca="false">IF(I1196=0,0,H1196/I1196-1)</f>
        <v>0.0272861356932153</v>
      </c>
      <c r="M1196" s="14" t="n">
        <v>1</v>
      </c>
      <c r="N1196" s="18" t="n">
        <v>0.018</v>
      </c>
    </row>
    <row r="1197" customFormat="false" ht="15" hidden="false" customHeight="false" outlineLevel="0" collapsed="false">
      <c r="A1197" s="12" t="s">
        <v>1256</v>
      </c>
      <c r="B1197" s="13" t="n">
        <v>46022</v>
      </c>
      <c r="C1197" s="12" t="str">
        <f aca="false">TEXT(B1197,"yyyy-mm")</f>
        <v>2025-12</v>
      </c>
      <c r="D1197" s="12" t="s">
        <v>111</v>
      </c>
      <c r="E1197" s="12" t="s">
        <v>76</v>
      </c>
      <c r="F1197" s="12" t="s">
        <v>77</v>
      </c>
      <c r="G1197" s="14" t="n">
        <v>1000</v>
      </c>
      <c r="H1197" s="15" t="n">
        <v>16.75</v>
      </c>
      <c r="I1197" s="15" t="n">
        <v>16.55</v>
      </c>
      <c r="J1197" s="16" t="n">
        <f aca="false">G1197*H1197</f>
        <v>16750</v>
      </c>
      <c r="K1197" s="16" t="n">
        <f aca="false">(H1197-I1197)*G1197</f>
        <v>199.999999999999</v>
      </c>
      <c r="L1197" s="17" t="n">
        <f aca="false">IF(I1197=0,0,H1197/I1197-1)</f>
        <v>0.012084592145015</v>
      </c>
      <c r="M1197" s="14" t="n">
        <v>1</v>
      </c>
      <c r="N1197" s="18" t="n">
        <v>0.021</v>
      </c>
    </row>
    <row r="1198" customFormat="false" ht="15" hidden="false" customHeight="false" outlineLevel="0" collapsed="false">
      <c r="A1198" s="12" t="s">
        <v>1257</v>
      </c>
      <c r="B1198" s="13" t="n">
        <v>46022</v>
      </c>
      <c r="C1198" s="12" t="str">
        <f aca="false">TEXT(B1198,"yyyy-mm")</f>
        <v>2025-12</v>
      </c>
      <c r="D1198" s="12" t="s">
        <v>39</v>
      </c>
      <c r="E1198" s="12" t="s">
        <v>49</v>
      </c>
      <c r="F1198" s="12" t="s">
        <v>50</v>
      </c>
      <c r="G1198" s="14" t="n">
        <v>400</v>
      </c>
      <c r="H1198" s="15" t="n">
        <v>16.2</v>
      </c>
      <c r="I1198" s="15" t="n">
        <v>16.73</v>
      </c>
      <c r="J1198" s="16" t="n">
        <f aca="false">G1198*H1198</f>
        <v>6480</v>
      </c>
      <c r="K1198" s="16" t="n">
        <f aca="false">(H1198-I1198)*G1198</f>
        <v>-212</v>
      </c>
      <c r="L1198" s="17" t="n">
        <f aca="false">IF(I1198=0,0,H1198/I1198-1)</f>
        <v>-0.0316796174536761</v>
      </c>
      <c r="M1198" s="14" t="n">
        <v>0</v>
      </c>
      <c r="N1198" s="18" t="n">
        <v>0.034</v>
      </c>
    </row>
    <row r="1199" customFormat="false" ht="15" hidden="false" customHeight="false" outlineLevel="0" collapsed="false">
      <c r="A1199" s="12" t="s">
        <v>1258</v>
      </c>
      <c r="B1199" s="13" t="n">
        <v>46022</v>
      </c>
      <c r="C1199" s="12" t="str">
        <f aca="false">TEXT(B1199,"yyyy-mm")</f>
        <v>2025-12</v>
      </c>
      <c r="D1199" s="12" t="s">
        <v>75</v>
      </c>
      <c r="E1199" s="12" t="s">
        <v>49</v>
      </c>
      <c r="F1199" s="12" t="s">
        <v>50</v>
      </c>
      <c r="G1199" s="14" t="n">
        <v>2000</v>
      </c>
      <c r="H1199" s="15" t="n">
        <v>20.35</v>
      </c>
      <c r="I1199" s="15" t="n">
        <v>20.37</v>
      </c>
      <c r="J1199" s="16" t="n">
        <f aca="false">G1199*H1199</f>
        <v>40700</v>
      </c>
      <c r="K1199" s="16" t="n">
        <f aca="false">(H1199-I1199)*G1199</f>
        <v>-39.9999999999992</v>
      </c>
      <c r="L1199" s="17" t="n">
        <f aca="false">IF(I1199=0,0,H1199/I1199-1)</f>
        <v>-0.000981836033382422</v>
      </c>
      <c r="M1199" s="14" t="n">
        <v>1</v>
      </c>
      <c r="N1199" s="18" t="n">
        <v>0.013</v>
      </c>
    </row>
    <row r="1200" customFormat="false" ht="15" hidden="false" customHeight="false" outlineLevel="0" collapsed="false">
      <c r="A1200" s="12" t="s">
        <v>1259</v>
      </c>
      <c r="B1200" s="13" t="n">
        <v>46022</v>
      </c>
      <c r="C1200" s="12" t="str">
        <f aca="false">TEXT(B1200,"yyyy-mm")</f>
        <v>2025-12</v>
      </c>
      <c r="D1200" s="12" t="s">
        <v>39</v>
      </c>
      <c r="E1200" s="12" t="s">
        <v>49</v>
      </c>
      <c r="F1200" s="12" t="s">
        <v>50</v>
      </c>
      <c r="G1200" s="14" t="n">
        <v>600</v>
      </c>
      <c r="H1200" s="15" t="n">
        <v>17.06</v>
      </c>
      <c r="I1200" s="15" t="n">
        <v>17.31</v>
      </c>
      <c r="J1200" s="16" t="n">
        <f aca="false">G1200*H1200</f>
        <v>10236</v>
      </c>
      <c r="K1200" s="16" t="n">
        <f aca="false">(H1200-I1200)*G1200</f>
        <v>-150</v>
      </c>
      <c r="L1200" s="17" t="n">
        <f aca="false">IF(I1200=0,0,H1200/I1200-1)</f>
        <v>-0.0144425187752744</v>
      </c>
      <c r="M1200" s="14" t="n">
        <v>1</v>
      </c>
      <c r="N1200" s="18" t="n">
        <v>0.014</v>
      </c>
    </row>
    <row r="1201" customFormat="false" ht="15" hidden="false" customHeight="false" outlineLevel="0" collapsed="false">
      <c r="A1201" s="12" t="s">
        <v>1260</v>
      </c>
      <c r="B1201" s="13" t="n">
        <v>46022</v>
      </c>
      <c r="C1201" s="12" t="str">
        <f aca="false">TEXT(B1201,"yyyy-mm")</f>
        <v>2025-12</v>
      </c>
      <c r="D1201" s="12" t="s">
        <v>75</v>
      </c>
      <c r="E1201" s="12" t="s">
        <v>40</v>
      </c>
      <c r="F1201" s="12" t="s">
        <v>41</v>
      </c>
      <c r="G1201" s="14" t="n">
        <v>800</v>
      </c>
      <c r="H1201" s="15" t="n">
        <v>20.04</v>
      </c>
      <c r="I1201" s="15" t="n">
        <v>20.05</v>
      </c>
      <c r="J1201" s="16" t="n">
        <f aca="false">G1201*H1201</f>
        <v>16032</v>
      </c>
      <c r="K1201" s="16" t="n">
        <f aca="false">(H1201-I1201)*G1201</f>
        <v>-8.00000000000125</v>
      </c>
      <c r="L1201" s="17" t="n">
        <f aca="false">IF(I1201=0,0,H1201/I1201-1)</f>
        <v>-0.00049875311720704</v>
      </c>
      <c r="M1201" s="14" t="n">
        <v>1</v>
      </c>
      <c r="N1201" s="18" t="n">
        <v>0.017</v>
      </c>
    </row>
  </sheetData>
  <autoFilter ref="A1:N1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1" min="2" style="0" width="12"/>
  </cols>
  <sheetData>
    <row r="1" customFormat="false" ht="17.35" hidden="false" customHeight="false" outlineLevel="0" collapsed="false">
      <c r="A1" s="1" t="s">
        <v>1261</v>
      </c>
    </row>
    <row r="3" customFormat="false" ht="15" hidden="false" customHeight="false" outlineLevel="0" collapsed="false">
      <c r="A3" s="11" t="s">
        <v>1262</v>
      </c>
      <c r="B3" s="11" t="s">
        <v>35</v>
      </c>
      <c r="C3" s="11" t="s">
        <v>39</v>
      </c>
      <c r="D3" s="11" t="s">
        <v>53</v>
      </c>
      <c r="E3" s="11" t="s">
        <v>80</v>
      </c>
      <c r="F3" s="11" t="s">
        <v>58</v>
      </c>
      <c r="G3" s="11" t="s">
        <v>75</v>
      </c>
      <c r="H3" s="11" t="s">
        <v>61</v>
      </c>
      <c r="I3" s="11" t="s">
        <v>111</v>
      </c>
      <c r="J3" s="11" t="s">
        <v>1263</v>
      </c>
      <c r="K3" s="11" t="s">
        <v>1264</v>
      </c>
    </row>
    <row r="4" customFormat="false" ht="15" hidden="false" customHeight="false" outlineLevel="0" collapsed="false">
      <c r="A4" s="12" t="s">
        <v>43</v>
      </c>
      <c r="B4" s="19" t="n">
        <f aca="false">SUMIFS(Data!$J$2:$J$1201,Data!$E$2:$E$1201,$A4,Data!$D$2:$D$1201,B$3)</f>
        <v>3877480</v>
      </c>
      <c r="C4" s="19" t="n">
        <f aca="false">SUMIFS(Data!$J$2:$J$1201,Data!$E$2:$E$1201,$A4,Data!$D$2:$D$1201,C$3)</f>
        <v>0</v>
      </c>
      <c r="D4" s="19" t="n">
        <f aca="false">SUMIFS(Data!$J$2:$J$1201,Data!$E$2:$E$1201,$A4,Data!$D$2:$D$1201,D$3)</f>
        <v>0</v>
      </c>
      <c r="E4" s="19" t="n">
        <f aca="false">SUMIFS(Data!$J$2:$J$1201,Data!$E$2:$E$1201,$A4,Data!$D$2:$D$1201,E$3)</f>
        <v>0</v>
      </c>
      <c r="F4" s="19" t="n">
        <f aca="false">SUMIFS(Data!$J$2:$J$1201,Data!$E$2:$E$1201,$A4,Data!$D$2:$D$1201,F$3)</f>
        <v>0</v>
      </c>
      <c r="G4" s="19" t="n">
        <f aca="false">SUMIFS(Data!$J$2:$J$1201,Data!$E$2:$E$1201,$A4,Data!$D$2:$D$1201,G$3)</f>
        <v>0</v>
      </c>
      <c r="H4" s="19" t="n">
        <f aca="false">SUMIFS(Data!$J$2:$J$1201,Data!$E$2:$E$1201,$A4,Data!$D$2:$D$1201,H$3)</f>
        <v>1614942</v>
      </c>
      <c r="I4" s="19" t="n">
        <f aca="false">SUMIFS(Data!$J$2:$J$1201,Data!$E$2:$E$1201,$A4,Data!$D$2:$D$1201,I$3)</f>
        <v>0</v>
      </c>
      <c r="J4" s="20" t="n">
        <f aca="false">SUM(B4:I4)</f>
        <v>5492422</v>
      </c>
      <c r="K4" s="21" t="n">
        <f aca="false">J4/$J$14</f>
        <v>0.211320978597969</v>
      </c>
    </row>
    <row r="5" customFormat="false" ht="15" hidden="false" customHeight="false" outlineLevel="0" collapsed="false">
      <c r="A5" s="12" t="s">
        <v>36</v>
      </c>
      <c r="B5" s="19" t="n">
        <f aca="false">SUMIFS(Data!$J$2:$J$1201,Data!$E$2:$E$1201,$A5,Data!$D$2:$D$1201,B$3)</f>
        <v>2319196</v>
      </c>
      <c r="C5" s="19" t="n">
        <f aca="false">SUMIFS(Data!$J$2:$J$1201,Data!$E$2:$E$1201,$A5,Data!$D$2:$D$1201,C$3)</f>
        <v>0</v>
      </c>
      <c r="D5" s="19" t="n">
        <f aca="false">SUMIFS(Data!$J$2:$J$1201,Data!$E$2:$E$1201,$A5,Data!$D$2:$D$1201,D$3)</f>
        <v>0</v>
      </c>
      <c r="E5" s="19" t="n">
        <f aca="false">SUMIFS(Data!$J$2:$J$1201,Data!$E$2:$E$1201,$A5,Data!$D$2:$D$1201,E$3)</f>
        <v>0</v>
      </c>
      <c r="F5" s="19" t="n">
        <f aca="false">SUMIFS(Data!$J$2:$J$1201,Data!$E$2:$E$1201,$A5,Data!$D$2:$D$1201,F$3)</f>
        <v>0</v>
      </c>
      <c r="G5" s="19" t="n">
        <f aca="false">SUMIFS(Data!$J$2:$J$1201,Data!$E$2:$E$1201,$A5,Data!$D$2:$D$1201,G$3)</f>
        <v>0</v>
      </c>
      <c r="H5" s="19" t="n">
        <f aca="false">SUMIFS(Data!$J$2:$J$1201,Data!$E$2:$E$1201,$A5,Data!$D$2:$D$1201,H$3)</f>
        <v>1101114</v>
      </c>
      <c r="I5" s="19" t="n">
        <f aca="false">SUMIFS(Data!$J$2:$J$1201,Data!$E$2:$E$1201,$A5,Data!$D$2:$D$1201,I$3)</f>
        <v>0</v>
      </c>
      <c r="J5" s="20" t="n">
        <f aca="false">SUM(B5:I5)</f>
        <v>3420310</v>
      </c>
      <c r="K5" s="21" t="n">
        <f aca="false">J5/$J$14</f>
        <v>0.131596453496913</v>
      </c>
    </row>
    <row r="6" customFormat="false" ht="15" hidden="false" customHeight="false" outlineLevel="0" collapsed="false">
      <c r="A6" s="12" t="s">
        <v>54</v>
      </c>
      <c r="B6" s="19" t="n">
        <f aca="false">SUMIFS(Data!$J$2:$J$1201,Data!$E$2:$E$1201,$A6,Data!$D$2:$D$1201,B$3)</f>
        <v>0</v>
      </c>
      <c r="C6" s="19" t="n">
        <f aca="false">SUMIFS(Data!$J$2:$J$1201,Data!$E$2:$E$1201,$A6,Data!$D$2:$D$1201,C$3)</f>
        <v>0</v>
      </c>
      <c r="D6" s="19" t="n">
        <f aca="false">SUMIFS(Data!$J$2:$J$1201,Data!$E$2:$E$1201,$A6,Data!$D$2:$D$1201,D$3)</f>
        <v>2105166</v>
      </c>
      <c r="E6" s="19" t="n">
        <f aca="false">SUMIFS(Data!$J$2:$J$1201,Data!$E$2:$E$1201,$A6,Data!$D$2:$D$1201,E$3)</f>
        <v>0</v>
      </c>
      <c r="F6" s="19" t="n">
        <f aca="false">SUMIFS(Data!$J$2:$J$1201,Data!$E$2:$E$1201,$A6,Data!$D$2:$D$1201,F$3)</f>
        <v>0</v>
      </c>
      <c r="G6" s="19" t="n">
        <f aca="false">SUMIFS(Data!$J$2:$J$1201,Data!$E$2:$E$1201,$A6,Data!$D$2:$D$1201,G$3)</f>
        <v>0</v>
      </c>
      <c r="H6" s="19" t="n">
        <f aca="false">SUMIFS(Data!$J$2:$J$1201,Data!$E$2:$E$1201,$A6,Data!$D$2:$D$1201,H$3)</f>
        <v>0</v>
      </c>
      <c r="I6" s="19" t="n">
        <f aca="false">SUMIFS(Data!$J$2:$J$1201,Data!$E$2:$E$1201,$A6,Data!$D$2:$D$1201,I$3)</f>
        <v>0</v>
      </c>
      <c r="J6" s="20" t="n">
        <f aca="false">SUM(B6:I6)</f>
        <v>2105166</v>
      </c>
      <c r="K6" s="21" t="n">
        <f aca="false">J6/$J$14</f>
        <v>0.0809962780047076</v>
      </c>
    </row>
    <row r="7" customFormat="false" ht="15" hidden="false" customHeight="false" outlineLevel="0" collapsed="false">
      <c r="A7" s="12" t="s">
        <v>49</v>
      </c>
      <c r="B7" s="19" t="n">
        <f aca="false">SUMIFS(Data!$J$2:$J$1201,Data!$E$2:$E$1201,$A7,Data!$D$2:$D$1201,B$3)</f>
        <v>0</v>
      </c>
      <c r="C7" s="19" t="n">
        <f aca="false">SUMIFS(Data!$J$2:$J$1201,Data!$E$2:$E$1201,$A7,Data!$D$2:$D$1201,C$3)</f>
        <v>625570</v>
      </c>
      <c r="D7" s="19" t="n">
        <f aca="false">SUMIFS(Data!$J$2:$J$1201,Data!$E$2:$E$1201,$A7,Data!$D$2:$D$1201,D$3)</f>
        <v>713030</v>
      </c>
      <c r="E7" s="19" t="n">
        <f aca="false">SUMIFS(Data!$J$2:$J$1201,Data!$E$2:$E$1201,$A7,Data!$D$2:$D$1201,E$3)</f>
        <v>0</v>
      </c>
      <c r="F7" s="19" t="n">
        <f aca="false">SUMIFS(Data!$J$2:$J$1201,Data!$E$2:$E$1201,$A7,Data!$D$2:$D$1201,F$3)</f>
        <v>0</v>
      </c>
      <c r="G7" s="19" t="n">
        <f aca="false">SUMIFS(Data!$J$2:$J$1201,Data!$E$2:$E$1201,$A7,Data!$D$2:$D$1201,G$3)</f>
        <v>626546</v>
      </c>
      <c r="H7" s="19" t="n">
        <f aca="false">SUMIFS(Data!$J$2:$J$1201,Data!$E$2:$E$1201,$A7,Data!$D$2:$D$1201,H$3)</f>
        <v>0</v>
      </c>
      <c r="I7" s="19" t="n">
        <f aca="false">SUMIFS(Data!$J$2:$J$1201,Data!$E$2:$E$1201,$A7,Data!$D$2:$D$1201,I$3)</f>
        <v>0</v>
      </c>
      <c r="J7" s="20" t="n">
        <f aca="false">SUM(B7:I7)</f>
        <v>1965146</v>
      </c>
      <c r="K7" s="21" t="n">
        <f aca="false">J7/$J$14</f>
        <v>0.0756090074302165</v>
      </c>
    </row>
    <row r="8" customFormat="false" ht="15" hidden="false" customHeight="false" outlineLevel="0" collapsed="false">
      <c r="A8" s="12" t="s">
        <v>76</v>
      </c>
      <c r="B8" s="19" t="n">
        <f aca="false">SUMIFS(Data!$J$2:$J$1201,Data!$E$2:$E$1201,$A8,Data!$D$2:$D$1201,B$3)</f>
        <v>0</v>
      </c>
      <c r="C8" s="19" t="n">
        <f aca="false">SUMIFS(Data!$J$2:$J$1201,Data!$E$2:$E$1201,$A8,Data!$D$2:$D$1201,C$3)</f>
        <v>0</v>
      </c>
      <c r="D8" s="19" t="n">
        <f aca="false">SUMIFS(Data!$J$2:$J$1201,Data!$E$2:$E$1201,$A8,Data!$D$2:$D$1201,D$3)</f>
        <v>0</v>
      </c>
      <c r="E8" s="19" t="n">
        <f aca="false">SUMIFS(Data!$J$2:$J$1201,Data!$E$2:$E$1201,$A8,Data!$D$2:$D$1201,E$3)</f>
        <v>538652</v>
      </c>
      <c r="F8" s="19" t="n">
        <f aca="false">SUMIFS(Data!$J$2:$J$1201,Data!$E$2:$E$1201,$A8,Data!$D$2:$D$1201,F$3)</f>
        <v>1267180</v>
      </c>
      <c r="G8" s="19" t="n">
        <f aca="false">SUMIFS(Data!$J$2:$J$1201,Data!$E$2:$E$1201,$A8,Data!$D$2:$D$1201,G$3)</f>
        <v>1209670</v>
      </c>
      <c r="H8" s="19" t="n">
        <f aca="false">SUMIFS(Data!$J$2:$J$1201,Data!$E$2:$E$1201,$A8,Data!$D$2:$D$1201,H$3)</f>
        <v>0</v>
      </c>
      <c r="I8" s="19" t="n">
        <f aca="false">SUMIFS(Data!$J$2:$J$1201,Data!$E$2:$E$1201,$A8,Data!$D$2:$D$1201,I$3)</f>
        <v>752774</v>
      </c>
      <c r="J8" s="20" t="n">
        <f aca="false">SUM(B8:I8)</f>
        <v>3768276</v>
      </c>
      <c r="K8" s="21" t="n">
        <f aca="false">J8/$J$14</f>
        <v>0.144984448017148</v>
      </c>
    </row>
    <row r="9" customFormat="false" ht="15" hidden="false" customHeight="false" outlineLevel="0" collapsed="false">
      <c r="A9" s="12" t="s">
        <v>46</v>
      </c>
      <c r="B9" s="19" t="n">
        <f aca="false">SUMIFS(Data!$J$2:$J$1201,Data!$E$2:$E$1201,$A9,Data!$D$2:$D$1201,B$3)</f>
        <v>0</v>
      </c>
      <c r="C9" s="19" t="n">
        <f aca="false">SUMIFS(Data!$J$2:$J$1201,Data!$E$2:$E$1201,$A9,Data!$D$2:$D$1201,C$3)</f>
        <v>1835486</v>
      </c>
      <c r="D9" s="19" t="n">
        <f aca="false">SUMIFS(Data!$J$2:$J$1201,Data!$E$2:$E$1201,$A9,Data!$D$2:$D$1201,D$3)</f>
        <v>0</v>
      </c>
      <c r="E9" s="19" t="n">
        <f aca="false">SUMIFS(Data!$J$2:$J$1201,Data!$E$2:$E$1201,$A9,Data!$D$2:$D$1201,E$3)</f>
        <v>0</v>
      </c>
      <c r="F9" s="19" t="n">
        <f aca="false">SUMIFS(Data!$J$2:$J$1201,Data!$E$2:$E$1201,$A9,Data!$D$2:$D$1201,F$3)</f>
        <v>0</v>
      </c>
      <c r="G9" s="19" t="n">
        <f aca="false">SUMIFS(Data!$J$2:$J$1201,Data!$E$2:$E$1201,$A9,Data!$D$2:$D$1201,G$3)</f>
        <v>0</v>
      </c>
      <c r="H9" s="19" t="n">
        <f aca="false">SUMIFS(Data!$J$2:$J$1201,Data!$E$2:$E$1201,$A9,Data!$D$2:$D$1201,H$3)</f>
        <v>0</v>
      </c>
      <c r="I9" s="19" t="n">
        <f aca="false">SUMIFS(Data!$J$2:$J$1201,Data!$E$2:$E$1201,$A9,Data!$D$2:$D$1201,I$3)</f>
        <v>0</v>
      </c>
      <c r="J9" s="20" t="n">
        <f aca="false">SUM(B9:I9)</f>
        <v>1835486</v>
      </c>
      <c r="K9" s="21" t="n">
        <f aca="false">J9/$J$14</f>
        <v>0.0706203379352264</v>
      </c>
    </row>
    <row r="10" customFormat="false" ht="15" hidden="false" customHeight="false" outlineLevel="0" collapsed="false">
      <c r="A10" s="12" t="s">
        <v>59</v>
      </c>
      <c r="B10" s="19" t="n">
        <f aca="false">SUMIFS(Data!$J$2:$J$1201,Data!$E$2:$E$1201,$A10,Data!$D$2:$D$1201,B$3)</f>
        <v>0</v>
      </c>
      <c r="C10" s="19" t="n">
        <f aca="false">SUMIFS(Data!$J$2:$J$1201,Data!$E$2:$E$1201,$A10,Data!$D$2:$D$1201,C$3)</f>
        <v>0</v>
      </c>
      <c r="D10" s="19" t="n">
        <f aca="false">SUMIFS(Data!$J$2:$J$1201,Data!$E$2:$E$1201,$A10,Data!$D$2:$D$1201,D$3)</f>
        <v>0</v>
      </c>
      <c r="E10" s="19" t="n">
        <f aca="false">SUMIFS(Data!$J$2:$J$1201,Data!$E$2:$E$1201,$A10,Data!$D$2:$D$1201,E$3)</f>
        <v>0</v>
      </c>
      <c r="F10" s="19" t="n">
        <f aca="false">SUMIFS(Data!$J$2:$J$1201,Data!$E$2:$E$1201,$A10,Data!$D$2:$D$1201,F$3)</f>
        <v>1871238</v>
      </c>
      <c r="G10" s="19" t="n">
        <f aca="false">SUMIFS(Data!$J$2:$J$1201,Data!$E$2:$E$1201,$A10,Data!$D$2:$D$1201,G$3)</f>
        <v>0</v>
      </c>
      <c r="H10" s="19" t="n">
        <f aca="false">SUMIFS(Data!$J$2:$J$1201,Data!$E$2:$E$1201,$A10,Data!$D$2:$D$1201,H$3)</f>
        <v>0</v>
      </c>
      <c r="I10" s="19" t="n">
        <f aca="false">SUMIFS(Data!$J$2:$J$1201,Data!$E$2:$E$1201,$A10,Data!$D$2:$D$1201,I$3)</f>
        <v>0</v>
      </c>
      <c r="J10" s="20" t="n">
        <f aca="false">SUM(B10:I10)</f>
        <v>1871238</v>
      </c>
      <c r="K10" s="21" t="n">
        <f aca="false">J10/$J$14</f>
        <v>0.0719958964095815</v>
      </c>
    </row>
    <row r="11" customFormat="false" ht="15" hidden="false" customHeight="false" outlineLevel="0" collapsed="false">
      <c r="A11" s="12" t="s">
        <v>81</v>
      </c>
      <c r="B11" s="19" t="n">
        <f aca="false">SUMIFS(Data!$J$2:$J$1201,Data!$E$2:$E$1201,$A11,Data!$D$2:$D$1201,B$3)</f>
        <v>0</v>
      </c>
      <c r="C11" s="19" t="n">
        <f aca="false">SUMIFS(Data!$J$2:$J$1201,Data!$E$2:$E$1201,$A11,Data!$D$2:$D$1201,C$3)</f>
        <v>0</v>
      </c>
      <c r="D11" s="19" t="n">
        <f aca="false">SUMIFS(Data!$J$2:$J$1201,Data!$E$2:$E$1201,$A11,Data!$D$2:$D$1201,D$3)</f>
        <v>0</v>
      </c>
      <c r="E11" s="19" t="n">
        <f aca="false">SUMIFS(Data!$J$2:$J$1201,Data!$E$2:$E$1201,$A11,Data!$D$2:$D$1201,E$3)</f>
        <v>2459984</v>
      </c>
      <c r="F11" s="19" t="n">
        <f aca="false">SUMIFS(Data!$J$2:$J$1201,Data!$E$2:$E$1201,$A11,Data!$D$2:$D$1201,F$3)</f>
        <v>0</v>
      </c>
      <c r="G11" s="19" t="n">
        <f aca="false">SUMIFS(Data!$J$2:$J$1201,Data!$E$2:$E$1201,$A11,Data!$D$2:$D$1201,G$3)</f>
        <v>0</v>
      </c>
      <c r="H11" s="19" t="n">
        <f aca="false">SUMIFS(Data!$J$2:$J$1201,Data!$E$2:$E$1201,$A11,Data!$D$2:$D$1201,H$3)</f>
        <v>0</v>
      </c>
      <c r="I11" s="19" t="n">
        <f aca="false">SUMIFS(Data!$J$2:$J$1201,Data!$E$2:$E$1201,$A11,Data!$D$2:$D$1201,I$3)</f>
        <v>0</v>
      </c>
      <c r="J11" s="20" t="n">
        <f aca="false">SUM(B11:I11)</f>
        <v>2459984</v>
      </c>
      <c r="K11" s="21" t="n">
        <f aca="false">J11/$J$14</f>
        <v>0.0946479032775243</v>
      </c>
    </row>
    <row r="12" customFormat="false" ht="15" hidden="false" customHeight="false" outlineLevel="0" collapsed="false">
      <c r="A12" s="12" t="s">
        <v>92</v>
      </c>
      <c r="B12" s="19" t="n">
        <f aca="false">SUMIFS(Data!$J$2:$J$1201,Data!$E$2:$E$1201,$A12,Data!$D$2:$D$1201,B$3)</f>
        <v>0</v>
      </c>
      <c r="C12" s="19" t="n">
        <f aca="false">SUMIFS(Data!$J$2:$J$1201,Data!$E$2:$E$1201,$A12,Data!$D$2:$D$1201,C$3)</f>
        <v>0</v>
      </c>
      <c r="D12" s="19" t="n">
        <f aca="false">SUMIFS(Data!$J$2:$J$1201,Data!$E$2:$E$1201,$A12,Data!$D$2:$D$1201,D$3)</f>
        <v>0</v>
      </c>
      <c r="E12" s="19" t="n">
        <f aca="false">SUMIFS(Data!$J$2:$J$1201,Data!$E$2:$E$1201,$A12,Data!$D$2:$D$1201,E$3)</f>
        <v>678302</v>
      </c>
      <c r="F12" s="19" t="n">
        <f aca="false">SUMIFS(Data!$J$2:$J$1201,Data!$E$2:$E$1201,$A12,Data!$D$2:$D$1201,F$3)</f>
        <v>0</v>
      </c>
      <c r="G12" s="19" t="n">
        <f aca="false">SUMIFS(Data!$J$2:$J$1201,Data!$E$2:$E$1201,$A12,Data!$D$2:$D$1201,G$3)</f>
        <v>0</v>
      </c>
      <c r="H12" s="19" t="n">
        <f aca="false">SUMIFS(Data!$J$2:$J$1201,Data!$E$2:$E$1201,$A12,Data!$D$2:$D$1201,H$3)</f>
        <v>0</v>
      </c>
      <c r="I12" s="19" t="n">
        <f aca="false">SUMIFS(Data!$J$2:$J$1201,Data!$E$2:$E$1201,$A12,Data!$D$2:$D$1201,I$3)</f>
        <v>191612</v>
      </c>
      <c r="J12" s="20" t="n">
        <f aca="false">SUM(B12:I12)</f>
        <v>869914</v>
      </c>
      <c r="K12" s="21" t="n">
        <f aca="false">J12/$J$14</f>
        <v>0.0334699478255811</v>
      </c>
    </row>
    <row r="13" customFormat="false" ht="15" hidden="false" customHeight="false" outlineLevel="0" collapsed="false">
      <c r="A13" s="12" t="s">
        <v>40</v>
      </c>
      <c r="B13" s="19" t="n">
        <f aca="false">SUMIFS(Data!$J$2:$J$1201,Data!$E$2:$E$1201,$A13,Data!$D$2:$D$1201,B$3)</f>
        <v>0</v>
      </c>
      <c r="C13" s="19" t="n">
        <f aca="false">SUMIFS(Data!$J$2:$J$1201,Data!$E$2:$E$1201,$A13,Data!$D$2:$D$1201,C$3)</f>
        <v>692610</v>
      </c>
      <c r="D13" s="19" t="n">
        <f aca="false">SUMIFS(Data!$J$2:$J$1201,Data!$E$2:$E$1201,$A13,Data!$D$2:$D$1201,D$3)</f>
        <v>0</v>
      </c>
      <c r="E13" s="19" t="n">
        <f aca="false">SUMIFS(Data!$J$2:$J$1201,Data!$E$2:$E$1201,$A13,Data!$D$2:$D$1201,E$3)</f>
        <v>0</v>
      </c>
      <c r="F13" s="19" t="n">
        <f aca="false">SUMIFS(Data!$J$2:$J$1201,Data!$E$2:$E$1201,$A13,Data!$D$2:$D$1201,F$3)</f>
        <v>794562</v>
      </c>
      <c r="G13" s="19" t="n">
        <f aca="false">SUMIFS(Data!$J$2:$J$1201,Data!$E$2:$E$1201,$A13,Data!$D$2:$D$1201,G$3)</f>
        <v>715784</v>
      </c>
      <c r="H13" s="19" t="n">
        <f aca="false">SUMIFS(Data!$J$2:$J$1201,Data!$E$2:$E$1201,$A13,Data!$D$2:$D$1201,H$3)</f>
        <v>0</v>
      </c>
      <c r="I13" s="19" t="n">
        <f aca="false">SUMIFS(Data!$J$2:$J$1201,Data!$E$2:$E$1201,$A13,Data!$D$2:$D$1201,I$3)</f>
        <v>0</v>
      </c>
      <c r="J13" s="20" t="n">
        <f aca="false">SUM(B13:I13)</f>
        <v>2202956</v>
      </c>
      <c r="K13" s="21" t="n">
        <f aca="false">J13/$J$14</f>
        <v>0.0847587490051325</v>
      </c>
    </row>
    <row r="14" customFormat="false" ht="15" hidden="false" customHeight="false" outlineLevel="0" collapsed="false">
      <c r="A14" s="4" t="s">
        <v>1263</v>
      </c>
      <c r="B14" s="22" t="n">
        <f aca="false">SUM(B4:B13)</f>
        <v>6196676</v>
      </c>
      <c r="C14" s="22" t="n">
        <f aca="false">SUM(C4:C13)</f>
        <v>3153666</v>
      </c>
      <c r="D14" s="22" t="n">
        <f aca="false">SUM(D4:D13)</f>
        <v>2818196</v>
      </c>
      <c r="E14" s="22" t="n">
        <f aca="false">SUM(E4:E13)</f>
        <v>3676938</v>
      </c>
      <c r="F14" s="22" t="n">
        <f aca="false">SUM(F4:F13)</f>
        <v>3932980</v>
      </c>
      <c r="G14" s="22" t="n">
        <f aca="false">SUM(G4:G13)</f>
        <v>2552000</v>
      </c>
      <c r="H14" s="22" t="n">
        <f aca="false">SUM(H4:H13)</f>
        <v>2716056</v>
      </c>
      <c r="I14" s="22" t="n">
        <f aca="false">SUM(I4:I13)</f>
        <v>944386</v>
      </c>
      <c r="J14" s="22" t="n">
        <f aca="false">SUM(J4:J13)</f>
        <v>25990898</v>
      </c>
      <c r="K14" s="23" t="n">
        <f aca="false">SUM(K4:K13)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</cols>
  <sheetData>
    <row r="1" customFormat="false" ht="26.85" hidden="false" customHeight="false" outlineLevel="0" collapsed="false">
      <c r="A1" s="11" t="s">
        <v>22</v>
      </c>
      <c r="B1" s="11" t="s">
        <v>29</v>
      </c>
      <c r="C1" s="11" t="s">
        <v>30</v>
      </c>
      <c r="D1" s="11" t="s">
        <v>1265</v>
      </c>
      <c r="E1" s="11" t="s">
        <v>1266</v>
      </c>
    </row>
    <row r="2" customFormat="false" ht="15" hidden="false" customHeight="false" outlineLevel="0" collapsed="false">
      <c r="A2" s="10" t="s">
        <v>1267</v>
      </c>
      <c r="B2" s="20" t="n">
        <f aca="false">SUMIFS(Data!$J$2:$J$1201,Data!$C$2:$C$1201,A2)</f>
        <v>1757632</v>
      </c>
      <c r="C2" s="24" t="n">
        <f aca="false">SUMIFS(Data!$K$2:$K$1201,Data!$C$2:$C$1201,A2)</f>
        <v>25104</v>
      </c>
      <c r="D2" s="25" t="n">
        <f aca="false">SUMIFS(Data!$J$2:$J$1201,Data!$C$2:$C$1201,A2)/SUMIFS(Data!$G$2:$G$1201,Data!$C$2:$C$1201,A2)</f>
        <v>16.6127788279773</v>
      </c>
      <c r="E2" s="25" t="n">
        <f aca="false">SUMPRODUCT((Data!$C$2:$C$1201=A2)*Data!$I$2:$I$1201*Data!$G$2:$G$1201)/SUMIFS(Data!$G$2:$G$1201,Data!$C$2:$C$1201,A2)</f>
        <v>16.3755009451796</v>
      </c>
    </row>
    <row r="3" customFormat="false" ht="15" hidden="false" customHeight="false" outlineLevel="0" collapsed="false">
      <c r="A3" s="10" t="s">
        <v>1268</v>
      </c>
      <c r="B3" s="20" t="n">
        <f aca="false">SUMIFS(Data!$J$2:$J$1201,Data!$C$2:$C$1201,A3)</f>
        <v>2166134</v>
      </c>
      <c r="C3" s="24" t="n">
        <f aca="false">SUMIFS(Data!$K$2:$K$1201,Data!$C$2:$C$1201,A3)</f>
        <v>46192</v>
      </c>
      <c r="D3" s="25" t="n">
        <f aca="false">SUMIFS(Data!$J$2:$J$1201,Data!$C$2:$C$1201,A3)/SUMIFS(Data!$G$2:$G$1201,Data!$C$2:$C$1201,A3)</f>
        <v>17.8136019736842</v>
      </c>
      <c r="E3" s="25" t="n">
        <f aca="false">SUMPRODUCT((Data!$C$2:$C$1201=A3)*Data!$I$2:$I$1201*Data!$G$2:$G$1201)/SUMIFS(Data!$G$2:$G$1201,Data!$C$2:$C$1201,A3)</f>
        <v>17.4337335526316</v>
      </c>
    </row>
    <row r="4" customFormat="false" ht="15" hidden="false" customHeight="false" outlineLevel="0" collapsed="false">
      <c r="A4" s="10" t="s">
        <v>1269</v>
      </c>
      <c r="B4" s="20" t="n">
        <f aca="false">SUMIFS(Data!$J$2:$J$1201,Data!$C$2:$C$1201,A4)</f>
        <v>2164050</v>
      </c>
      <c r="C4" s="24" t="n">
        <f aca="false">SUMIFS(Data!$K$2:$K$1201,Data!$C$2:$C$1201,A4)</f>
        <v>13116</v>
      </c>
      <c r="D4" s="25" t="n">
        <f aca="false">SUMIFS(Data!$J$2:$J$1201,Data!$C$2:$C$1201,A4)/SUMIFS(Data!$G$2:$G$1201,Data!$C$2:$C$1201,A4)</f>
        <v>19.2531138790036</v>
      </c>
      <c r="E4" s="25" t="n">
        <f aca="false">SUMPRODUCT((Data!$C$2:$C$1201=A4)*Data!$I$2:$I$1201*Data!$G$2:$G$1201)/SUMIFS(Data!$G$2:$G$1201,Data!$C$2:$C$1201,A4)</f>
        <v>19.1364234875445</v>
      </c>
    </row>
    <row r="5" customFormat="false" ht="15" hidden="false" customHeight="false" outlineLevel="0" collapsed="false">
      <c r="A5" s="10" t="s">
        <v>1270</v>
      </c>
      <c r="B5" s="20" t="n">
        <f aca="false">SUMIFS(Data!$J$2:$J$1201,Data!$C$2:$C$1201,A5)</f>
        <v>2427270</v>
      </c>
      <c r="C5" s="24" t="n">
        <f aca="false">SUMIFS(Data!$K$2:$K$1201,Data!$C$2:$C$1201,A5)</f>
        <v>19988</v>
      </c>
      <c r="D5" s="25" t="n">
        <f aca="false">SUMIFS(Data!$J$2:$J$1201,Data!$C$2:$C$1201,A5)/SUMIFS(Data!$G$2:$G$1201,Data!$C$2:$C$1201,A5)</f>
        <v>20.0600826446281</v>
      </c>
      <c r="E5" s="25" t="n">
        <f aca="false">SUMPRODUCT((Data!$C$2:$C$1201=A5)*Data!$I$2:$I$1201*Data!$G$2:$G$1201)/SUMIFS(Data!$G$2:$G$1201,Data!$C$2:$C$1201,A5)</f>
        <v>19.8948925619835</v>
      </c>
    </row>
    <row r="6" customFormat="false" ht="15" hidden="false" customHeight="false" outlineLevel="0" collapsed="false">
      <c r="A6" s="10" t="s">
        <v>1271</v>
      </c>
      <c r="B6" s="20" t="n">
        <f aca="false">SUMIFS(Data!$J$2:$J$1201,Data!$C$2:$C$1201,A6)</f>
        <v>2143342</v>
      </c>
      <c r="C6" s="24" t="n">
        <f aca="false">SUMIFS(Data!$K$2:$K$1201,Data!$C$2:$C$1201,A6)</f>
        <v>21056</v>
      </c>
      <c r="D6" s="25" t="n">
        <f aca="false">SUMIFS(Data!$J$2:$J$1201,Data!$C$2:$C$1201,A6)/SUMIFS(Data!$G$2:$G$1201,Data!$C$2:$C$1201,A6)</f>
        <v>22.5140966386555</v>
      </c>
      <c r="E6" s="25" t="n">
        <f aca="false">SUMPRODUCT((Data!$C$2:$C$1201=A6)*Data!$I$2:$I$1201*Data!$G$2:$G$1201)/SUMIFS(Data!$G$2:$G$1201,Data!$C$2:$C$1201,A6)</f>
        <v>22.2929201680672</v>
      </c>
    </row>
    <row r="7" customFormat="false" ht="15" hidden="false" customHeight="false" outlineLevel="0" collapsed="false">
      <c r="A7" s="10" t="s">
        <v>1272</v>
      </c>
      <c r="B7" s="20" t="n">
        <f aca="false">SUMIFS(Data!$J$2:$J$1201,Data!$C$2:$C$1201,A7)</f>
        <v>2245608</v>
      </c>
      <c r="C7" s="24" t="n">
        <f aca="false">SUMIFS(Data!$K$2:$K$1201,Data!$C$2:$C$1201,A7)</f>
        <v>35140</v>
      </c>
      <c r="D7" s="25" t="n">
        <f aca="false">SUMIFS(Data!$J$2:$J$1201,Data!$C$2:$C$1201,A7)/SUMIFS(Data!$G$2:$G$1201,Data!$C$2:$C$1201,A7)</f>
        <v>21.1450847457627</v>
      </c>
      <c r="E7" s="25" t="n">
        <f aca="false">SUMPRODUCT((Data!$C$2:$C$1201=A7)*Data!$I$2:$I$1201*Data!$G$2:$G$1201)/SUMIFS(Data!$G$2:$G$1201,Data!$C$2:$C$1201,A7)</f>
        <v>20.8141996233522</v>
      </c>
    </row>
    <row r="8" customFormat="false" ht="15" hidden="false" customHeight="false" outlineLevel="0" collapsed="false">
      <c r="A8" s="10" t="s">
        <v>1273</v>
      </c>
      <c r="B8" s="20" t="n">
        <f aca="false">SUMIFS(Data!$J$2:$J$1201,Data!$C$2:$C$1201,A8)</f>
        <v>2610786</v>
      </c>
      <c r="C8" s="24" t="n">
        <f aca="false">SUMIFS(Data!$K$2:$K$1201,Data!$C$2:$C$1201,A8)</f>
        <v>42852</v>
      </c>
      <c r="D8" s="25" t="n">
        <f aca="false">SUMIFS(Data!$J$2:$J$1201,Data!$C$2:$C$1201,A8)/SUMIFS(Data!$G$2:$G$1201,Data!$C$2:$C$1201,A8)</f>
        <v>20.6876862123613</v>
      </c>
      <c r="E8" s="25" t="n">
        <f aca="false">SUMPRODUCT((Data!$C$2:$C$1201=A8)*Data!$I$2:$I$1201*Data!$G$2:$G$1201)/SUMIFS(Data!$G$2:$G$1201,Data!$C$2:$C$1201,A8)</f>
        <v>20.3481299524564</v>
      </c>
    </row>
    <row r="9" customFormat="false" ht="15" hidden="false" customHeight="false" outlineLevel="0" collapsed="false">
      <c r="A9" s="10" t="s">
        <v>1274</v>
      </c>
      <c r="B9" s="20" t="n">
        <f aca="false">SUMIFS(Data!$J$2:$J$1201,Data!$C$2:$C$1201,A9)</f>
        <v>2780742</v>
      </c>
      <c r="C9" s="24" t="n">
        <f aca="false">SUMIFS(Data!$K$2:$K$1201,Data!$C$2:$C$1201,A9)</f>
        <v>43127.9999999999</v>
      </c>
      <c r="D9" s="25" t="n">
        <f aca="false">SUMIFS(Data!$J$2:$J$1201,Data!$C$2:$C$1201,A9)/SUMIFS(Data!$G$2:$G$1201,Data!$C$2:$C$1201,A9)</f>
        <v>20.7208792846498</v>
      </c>
      <c r="E9" s="25" t="n">
        <f aca="false">SUMPRODUCT((Data!$C$2:$C$1201=A9)*Data!$I$2:$I$1201*Data!$G$2:$G$1201)/SUMIFS(Data!$G$2:$G$1201,Data!$C$2:$C$1201,A9)</f>
        <v>20.3995081967213</v>
      </c>
    </row>
    <row r="10" customFormat="false" ht="15" hidden="false" customHeight="false" outlineLevel="0" collapsed="false">
      <c r="A10" s="10" t="s">
        <v>1275</v>
      </c>
      <c r="B10" s="20" t="n">
        <f aca="false">SUMIFS(Data!$J$2:$J$1201,Data!$C$2:$C$1201,A10)</f>
        <v>2153488</v>
      </c>
      <c r="C10" s="24" t="n">
        <f aca="false">SUMIFS(Data!$K$2:$K$1201,Data!$C$2:$C$1201,A10)</f>
        <v>18554</v>
      </c>
      <c r="D10" s="25" t="n">
        <f aca="false">SUMIFS(Data!$J$2:$J$1201,Data!$C$2:$C$1201,A10)/SUMIFS(Data!$G$2:$G$1201,Data!$C$2:$C$1201,A10)</f>
        <v>18.6934722222222</v>
      </c>
      <c r="E10" s="25" t="n">
        <f aca="false">SUMPRODUCT((Data!$C$2:$C$1201=A10)*Data!$I$2:$I$1201*Data!$G$2:$G$1201)/SUMIFS(Data!$G$2:$G$1201,Data!$C$2:$C$1201,A10)</f>
        <v>18.5324131944444</v>
      </c>
    </row>
    <row r="11" customFormat="false" ht="15" hidden="false" customHeight="false" outlineLevel="0" collapsed="false">
      <c r="A11" s="10" t="s">
        <v>1276</v>
      </c>
      <c r="B11" s="20" t="n">
        <f aca="false">SUMIFS(Data!$J$2:$J$1201,Data!$C$2:$C$1201,A11)</f>
        <v>1892878</v>
      </c>
      <c r="C11" s="24" t="n">
        <f aca="false">SUMIFS(Data!$K$2:$K$1201,Data!$C$2:$C$1201,A11)</f>
        <v>26792</v>
      </c>
      <c r="D11" s="25" t="n">
        <f aca="false">SUMIFS(Data!$J$2:$J$1201,Data!$C$2:$C$1201,A11)/SUMIFS(Data!$G$2:$G$1201,Data!$C$2:$C$1201,A11)</f>
        <v>17.8573396226415</v>
      </c>
      <c r="E11" s="25" t="n">
        <f aca="false">SUMPRODUCT((Data!$C$2:$C$1201=A11)*Data!$I$2:$I$1201*Data!$G$2:$G$1201)/SUMIFS(Data!$G$2:$G$1201,Data!$C$2:$C$1201,A11)</f>
        <v>17.6045849056604</v>
      </c>
    </row>
    <row r="12" customFormat="false" ht="15" hidden="false" customHeight="false" outlineLevel="0" collapsed="false">
      <c r="A12" s="10" t="s">
        <v>1277</v>
      </c>
      <c r="B12" s="20" t="n">
        <f aca="false">SUMIFS(Data!$J$2:$J$1201,Data!$C$2:$C$1201,A12)</f>
        <v>1750176</v>
      </c>
      <c r="C12" s="24" t="n">
        <f aca="false">SUMIFS(Data!$K$2:$K$1201,Data!$C$2:$C$1201,A12)</f>
        <v>26464</v>
      </c>
      <c r="D12" s="25" t="n">
        <f aca="false">SUMIFS(Data!$J$2:$J$1201,Data!$C$2:$C$1201,A12)/SUMIFS(Data!$G$2:$G$1201,Data!$C$2:$C$1201,A12)</f>
        <v>17.6429032258065</v>
      </c>
      <c r="E12" s="25" t="n">
        <f aca="false">SUMPRODUCT((Data!$C$2:$C$1201=A12)*Data!$I$2:$I$1201*Data!$G$2:$G$1201)/SUMIFS(Data!$G$2:$G$1201,Data!$C$2:$C$1201,A12)</f>
        <v>17.3761290322581</v>
      </c>
    </row>
    <row r="13" customFormat="false" ht="15" hidden="false" customHeight="false" outlineLevel="0" collapsed="false">
      <c r="A13" s="10" t="s">
        <v>1278</v>
      </c>
      <c r="B13" s="20" t="n">
        <f aca="false">SUMIFS(Data!$J$2:$J$1201,Data!$C$2:$C$1201,A13)</f>
        <v>1898792</v>
      </c>
      <c r="C13" s="24" t="n">
        <f aca="false">SUMIFS(Data!$K$2:$K$1201,Data!$C$2:$C$1201,A13)</f>
        <v>11224</v>
      </c>
      <c r="D13" s="25" t="n">
        <f aca="false">SUMIFS(Data!$J$2:$J$1201,Data!$C$2:$C$1201,A13)/SUMIFS(Data!$G$2:$G$1201,Data!$C$2:$C$1201,A13)</f>
        <v>17.7789513108614</v>
      </c>
      <c r="E13" s="25" t="n">
        <f aca="false">SUMPRODUCT((Data!$C$2:$C$1201=A13)*Data!$I$2:$I$1201*Data!$G$2:$G$1201)/SUMIFS(Data!$G$2:$G$1201,Data!$C$2:$C$1201,A13)</f>
        <v>17.6738576779026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3"/>
    <col collapsed="false" customWidth="true" hidden="false" outlineLevel="0" max="5" min="5" style="0" width="14"/>
  </cols>
  <sheetData>
    <row r="1" customFormat="false" ht="26.85" hidden="false" customHeight="false" outlineLevel="0" collapsed="false">
      <c r="A1" s="11" t="s">
        <v>24</v>
      </c>
      <c r="B1" s="11" t="s">
        <v>29</v>
      </c>
      <c r="C1" s="11" t="s">
        <v>1264</v>
      </c>
      <c r="D1" s="11" t="s">
        <v>1279</v>
      </c>
      <c r="E1" s="11" t="s">
        <v>1280</v>
      </c>
    </row>
    <row r="2" customFormat="false" ht="15" hidden="false" customHeight="false" outlineLevel="0" collapsed="false">
      <c r="A2" s="10" t="s">
        <v>43</v>
      </c>
      <c r="B2" s="20" t="n">
        <f aca="false">SUMIFS(Data!$J$2:$J$1201,Data!$E$2:$E$1201,A2)</f>
        <v>5492422</v>
      </c>
      <c r="C2" s="21" t="n">
        <f aca="false">B2/SUM($B$2:$B$11)</f>
        <v>0.211320978597969</v>
      </c>
      <c r="D2" s="21" t="n">
        <f aca="false">SUM($C$2:C2)</f>
        <v>0.211320978597969</v>
      </c>
      <c r="E2" s="10" t="str">
        <f aca="false">IF(D2-C2&lt;0.8,"A (top 80%)",IF(D2-C2&lt;0.95,"B","C"))</f>
        <v>A (top 80%)</v>
      </c>
    </row>
    <row r="3" customFormat="false" ht="15" hidden="false" customHeight="false" outlineLevel="0" collapsed="false">
      <c r="A3" s="10" t="s">
        <v>76</v>
      </c>
      <c r="B3" s="20" t="n">
        <f aca="false">SUMIFS(Data!$J$2:$J$1201,Data!$E$2:$E$1201,A3)</f>
        <v>3768276</v>
      </c>
      <c r="C3" s="21" t="n">
        <f aca="false">B3/SUM($B$2:$B$11)</f>
        <v>0.144984448017148</v>
      </c>
      <c r="D3" s="21" t="n">
        <f aca="false">SUM($C$2:C3)</f>
        <v>0.356305426615117</v>
      </c>
      <c r="E3" s="10" t="str">
        <f aca="false">IF(D3-C3&lt;0.8,"A (top 80%)",IF(D3-C3&lt;0.95,"B","C"))</f>
        <v>A (top 80%)</v>
      </c>
    </row>
    <row r="4" customFormat="false" ht="15" hidden="false" customHeight="false" outlineLevel="0" collapsed="false">
      <c r="A4" s="10" t="s">
        <v>36</v>
      </c>
      <c r="B4" s="20" t="n">
        <f aca="false">SUMIFS(Data!$J$2:$J$1201,Data!$E$2:$E$1201,A4)</f>
        <v>3420310</v>
      </c>
      <c r="C4" s="21" t="n">
        <f aca="false">B4/SUM($B$2:$B$11)</f>
        <v>0.131596453496913</v>
      </c>
      <c r="D4" s="21" t="n">
        <f aca="false">SUM($C$2:C4)</f>
        <v>0.48790188011203</v>
      </c>
      <c r="E4" s="10" t="str">
        <f aca="false">IF(D4-C4&lt;0.8,"A (top 80%)",IF(D4-C4&lt;0.95,"B","C"))</f>
        <v>A (top 80%)</v>
      </c>
    </row>
    <row r="5" customFormat="false" ht="15" hidden="false" customHeight="false" outlineLevel="0" collapsed="false">
      <c r="A5" s="10" t="s">
        <v>81</v>
      </c>
      <c r="B5" s="20" t="n">
        <f aca="false">SUMIFS(Data!$J$2:$J$1201,Data!$E$2:$E$1201,A5)</f>
        <v>2459984</v>
      </c>
      <c r="C5" s="21" t="n">
        <f aca="false">B5/SUM($B$2:$B$11)</f>
        <v>0.0946479032775243</v>
      </c>
      <c r="D5" s="21" t="n">
        <f aca="false">SUM($C$2:C5)</f>
        <v>0.582549783389554</v>
      </c>
      <c r="E5" s="10" t="str">
        <f aca="false">IF(D5-C5&lt;0.8,"A (top 80%)",IF(D5-C5&lt;0.95,"B","C"))</f>
        <v>A (top 80%)</v>
      </c>
    </row>
    <row r="6" customFormat="false" ht="15" hidden="false" customHeight="false" outlineLevel="0" collapsed="false">
      <c r="A6" s="10" t="s">
        <v>40</v>
      </c>
      <c r="B6" s="20" t="n">
        <f aca="false">SUMIFS(Data!$J$2:$J$1201,Data!$E$2:$E$1201,A6)</f>
        <v>2202956</v>
      </c>
      <c r="C6" s="21" t="n">
        <f aca="false">B6/SUM($B$2:$B$11)</f>
        <v>0.0847587490051325</v>
      </c>
      <c r="D6" s="21" t="n">
        <f aca="false">SUM($C$2:C6)</f>
        <v>0.667308532394687</v>
      </c>
      <c r="E6" s="10" t="str">
        <f aca="false">IF(D6-C6&lt;0.8,"A (top 80%)",IF(D6-C6&lt;0.95,"B","C"))</f>
        <v>A (top 80%)</v>
      </c>
    </row>
    <row r="7" customFormat="false" ht="15" hidden="false" customHeight="false" outlineLevel="0" collapsed="false">
      <c r="A7" s="10" t="s">
        <v>54</v>
      </c>
      <c r="B7" s="20" t="n">
        <f aca="false">SUMIFS(Data!$J$2:$J$1201,Data!$E$2:$E$1201,A7)</f>
        <v>2105166</v>
      </c>
      <c r="C7" s="21" t="n">
        <f aca="false">B7/SUM($B$2:$B$11)</f>
        <v>0.0809962780047076</v>
      </c>
      <c r="D7" s="21" t="n">
        <f aca="false">SUM($C$2:C7)</f>
        <v>0.748304810399394</v>
      </c>
      <c r="E7" s="10" t="str">
        <f aca="false">IF(D7-C7&lt;0.8,"A (top 80%)",IF(D7-C7&lt;0.95,"B","C"))</f>
        <v>A (top 80%)</v>
      </c>
    </row>
    <row r="8" customFormat="false" ht="15" hidden="false" customHeight="false" outlineLevel="0" collapsed="false">
      <c r="A8" s="10" t="s">
        <v>49</v>
      </c>
      <c r="B8" s="20" t="n">
        <f aca="false">SUMIFS(Data!$J$2:$J$1201,Data!$E$2:$E$1201,A8)</f>
        <v>1965146</v>
      </c>
      <c r="C8" s="21" t="n">
        <f aca="false">B8/SUM($B$2:$B$11)</f>
        <v>0.0756090074302165</v>
      </c>
      <c r="D8" s="21" t="n">
        <f aca="false">SUM($C$2:C8)</f>
        <v>0.823913817829611</v>
      </c>
      <c r="E8" s="10" t="str">
        <f aca="false">IF(D8-C8&lt;0.8,"A (top 80%)",IF(D8-C8&lt;0.95,"B","C"))</f>
        <v>A (top 80%)</v>
      </c>
    </row>
    <row r="9" customFormat="false" ht="15" hidden="false" customHeight="false" outlineLevel="0" collapsed="false">
      <c r="A9" s="10" t="s">
        <v>59</v>
      </c>
      <c r="B9" s="20" t="n">
        <f aca="false">SUMIFS(Data!$J$2:$J$1201,Data!$E$2:$E$1201,A9)</f>
        <v>1871238</v>
      </c>
      <c r="C9" s="21" t="n">
        <f aca="false">B9/SUM($B$2:$B$11)</f>
        <v>0.0719958964095815</v>
      </c>
      <c r="D9" s="21" t="n">
        <f aca="false">SUM($C$2:C9)</f>
        <v>0.895909714239193</v>
      </c>
      <c r="E9" s="10" t="str">
        <f aca="false">IF(D9-C9&lt;0.8,"A (top 80%)",IF(D9-C9&lt;0.95,"B","C"))</f>
        <v>B</v>
      </c>
    </row>
    <row r="10" customFormat="false" ht="15" hidden="false" customHeight="false" outlineLevel="0" collapsed="false">
      <c r="A10" s="10" t="s">
        <v>46</v>
      </c>
      <c r="B10" s="20" t="n">
        <f aca="false">SUMIFS(Data!$J$2:$J$1201,Data!$E$2:$E$1201,A10)</f>
        <v>1835486</v>
      </c>
      <c r="C10" s="21" t="n">
        <f aca="false">B10/SUM($B$2:$B$11)</f>
        <v>0.0706203379352264</v>
      </c>
      <c r="D10" s="21" t="n">
        <f aca="false">SUM($C$2:C10)</f>
        <v>0.966530052174419</v>
      </c>
      <c r="E10" s="10" t="str">
        <f aca="false">IF(D10-C10&lt;0.8,"A (top 80%)",IF(D10-C10&lt;0.95,"B","C"))</f>
        <v>B</v>
      </c>
    </row>
    <row r="11" customFormat="false" ht="15" hidden="false" customHeight="false" outlineLevel="0" collapsed="false">
      <c r="A11" s="10" t="s">
        <v>92</v>
      </c>
      <c r="B11" s="20" t="n">
        <f aca="false">SUMIFS(Data!$J$2:$J$1201,Data!$E$2:$E$1201,A11)</f>
        <v>869914</v>
      </c>
      <c r="C11" s="21" t="n">
        <f aca="false">B11/SUM($B$2:$B$11)</f>
        <v>0.0334699478255811</v>
      </c>
      <c r="D11" s="21" t="n">
        <f aca="false">SUM($C$2:C11)</f>
        <v>1</v>
      </c>
      <c r="E11" s="10" t="str">
        <f aca="false">IF(D11-C11&lt;0.8,"A (top 80%)",IF(D11-C11&lt;0.95,"B","C"))</f>
        <v>C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3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55"/>
    <col collapsed="false" customWidth="true" hidden="false" outlineLevel="0" max="9" min="9" style="0" width="28"/>
  </cols>
  <sheetData>
    <row r="1" customFormat="false" ht="15" hidden="false" customHeight="false" outlineLevel="0" collapsed="false">
      <c r="A1" s="26" t="s">
        <v>1281</v>
      </c>
    </row>
    <row r="3" customFormat="false" ht="26.85" hidden="false" customHeight="false" outlineLevel="0" collapsed="false">
      <c r="A3" s="11" t="s">
        <v>23</v>
      </c>
      <c r="B3" s="11" t="s">
        <v>29</v>
      </c>
      <c r="C3" s="11" t="s">
        <v>1282</v>
      </c>
      <c r="D3" s="11" t="s">
        <v>1283</v>
      </c>
      <c r="E3" s="11" t="s">
        <v>1284</v>
      </c>
      <c r="F3" s="11" t="s">
        <v>1285</v>
      </c>
      <c r="G3" s="11" t="s">
        <v>1286</v>
      </c>
      <c r="I3" s="10" t="s">
        <v>1287</v>
      </c>
      <c r="J3" s="18" t="n">
        <v>0.125</v>
      </c>
    </row>
    <row r="4" customFormat="false" ht="15" hidden="false" customHeight="false" outlineLevel="0" collapsed="false">
      <c r="A4" s="10" t="s">
        <v>35</v>
      </c>
      <c r="B4" s="20" t="n">
        <f aca="false">SUMIFS(Data!$J$2:$J$1201,Data!$D$2:$D$1201,A4)</f>
        <v>6196676</v>
      </c>
      <c r="C4" s="21" t="n">
        <f aca="false">B4/SUM($B$4:$B$11)</f>
        <v>0.238417156652302</v>
      </c>
      <c r="D4" s="14" t="n">
        <v>2</v>
      </c>
      <c r="E4" s="10" t="str">
        <f aca="false">IF(C4&gt;=$J$3,"High","Low")</f>
        <v>High</v>
      </c>
      <c r="F4" s="10" t="str">
        <f aca="false">IF(AND(C4&gt;=$J$3,D4&gt;=$J$4),"Strategic",IF(C4&gt;=$J$3,"Leverage",IF(D4&gt;=$J$4,"Bottleneck","Routine")))</f>
        <v>Leverage</v>
      </c>
      <c r="G4" s="10" t="s">
        <v>1288</v>
      </c>
      <c r="I4" s="10" t="s">
        <v>1289</v>
      </c>
      <c r="J4" s="14" t="n">
        <v>3</v>
      </c>
    </row>
    <row r="5" customFormat="false" ht="15" hidden="false" customHeight="false" outlineLevel="0" collapsed="false">
      <c r="A5" s="10" t="s">
        <v>39</v>
      </c>
      <c r="B5" s="20" t="n">
        <f aca="false">SUMIFS(Data!$J$2:$J$1201,Data!$D$2:$D$1201,A5)</f>
        <v>3153666</v>
      </c>
      <c r="C5" s="21" t="n">
        <f aca="false">B5/SUM($B$4:$B$11)</f>
        <v>0.121337323550729</v>
      </c>
      <c r="D5" s="14" t="n">
        <v>1</v>
      </c>
      <c r="E5" s="10" t="str">
        <f aca="false">IF(C5&gt;=$J$3,"High","Low")</f>
        <v>Low</v>
      </c>
      <c r="F5" s="10" t="str">
        <f aca="false">IF(AND(C5&gt;=$J$3,D5&gt;=$J$4),"Strategic",IF(C5&gt;=$J$3,"Leverage",IF(D5&gt;=$J$4,"Bottleneck","Routine")))</f>
        <v>Routine</v>
      </c>
      <c r="G5" s="10" t="s">
        <v>1290</v>
      </c>
    </row>
    <row r="6" customFormat="false" ht="15" hidden="false" customHeight="false" outlineLevel="0" collapsed="false">
      <c r="A6" s="10" t="s">
        <v>53</v>
      </c>
      <c r="B6" s="20" t="n">
        <f aca="false">SUMIFS(Data!$J$2:$J$1201,Data!$D$2:$D$1201,A6)</f>
        <v>2818196</v>
      </c>
      <c r="C6" s="21" t="n">
        <f aca="false">B6/SUM($B$4:$B$11)</f>
        <v>0.108430112726386</v>
      </c>
      <c r="D6" s="14" t="n">
        <v>2</v>
      </c>
      <c r="E6" s="10" t="str">
        <f aca="false">IF(C6&gt;=$J$3,"High","Low")</f>
        <v>Low</v>
      </c>
      <c r="F6" s="10" t="str">
        <f aca="false">IF(AND(C6&gt;=$J$3,D6&gt;=$J$4),"Strategic",IF(C6&gt;=$J$3,"Leverage",IF(D6&gt;=$J$4,"Bottleneck","Routine")))</f>
        <v>Routine</v>
      </c>
      <c r="G6" s="10" t="s">
        <v>1291</v>
      </c>
    </row>
    <row r="7" customFormat="false" ht="15" hidden="false" customHeight="false" outlineLevel="0" collapsed="false">
      <c r="A7" s="10" t="s">
        <v>80</v>
      </c>
      <c r="B7" s="20" t="n">
        <f aca="false">SUMIFS(Data!$J$2:$J$1201,Data!$D$2:$D$1201,A7)</f>
        <v>3676938</v>
      </c>
      <c r="C7" s="21" t="n">
        <f aca="false">B7/SUM($B$4:$B$11)</f>
        <v>0.141470217766235</v>
      </c>
      <c r="D7" s="14" t="n">
        <v>4</v>
      </c>
      <c r="E7" s="10" t="str">
        <f aca="false">IF(C7&gt;=$J$3,"High","Low")</f>
        <v>High</v>
      </c>
      <c r="F7" s="10" t="str">
        <f aca="false">IF(AND(C7&gt;=$J$3,D7&gt;=$J$4),"Strategic",IF(C7&gt;=$J$3,"Leverage",IF(D7&gt;=$J$4,"Bottleneck","Routine")))</f>
        <v>Strategic</v>
      </c>
      <c r="G7" s="10" t="s">
        <v>1292</v>
      </c>
    </row>
    <row r="8" customFormat="false" ht="15" hidden="false" customHeight="false" outlineLevel="0" collapsed="false">
      <c r="A8" s="10" t="s">
        <v>58</v>
      </c>
      <c r="B8" s="20" t="n">
        <f aca="false">SUMIFS(Data!$J$2:$J$1201,Data!$D$2:$D$1201,A8)</f>
        <v>3932980</v>
      </c>
      <c r="C8" s="21" t="n">
        <f aca="false">B8/SUM($B$4:$B$11)</f>
        <v>0.15132143568106</v>
      </c>
      <c r="D8" s="14" t="n">
        <v>4</v>
      </c>
      <c r="E8" s="10" t="str">
        <f aca="false">IF(C8&gt;=$J$3,"High","Low")</f>
        <v>High</v>
      </c>
      <c r="F8" s="10" t="str">
        <f aca="false">IF(AND(C8&gt;=$J$3,D8&gt;=$J$4),"Strategic",IF(C8&gt;=$J$3,"Leverage",IF(D8&gt;=$J$4,"Bottleneck","Routine")))</f>
        <v>Strategic</v>
      </c>
      <c r="G8" s="10" t="s">
        <v>1293</v>
      </c>
    </row>
    <row r="9" customFormat="false" ht="15" hidden="false" customHeight="false" outlineLevel="0" collapsed="false">
      <c r="A9" s="10" t="s">
        <v>75</v>
      </c>
      <c r="B9" s="20" t="n">
        <f aca="false">SUMIFS(Data!$J$2:$J$1201,Data!$D$2:$D$1201,A9)</f>
        <v>2552000</v>
      </c>
      <c r="C9" s="21" t="n">
        <f aca="false">B9/SUM($B$4:$B$11)</f>
        <v>0.0981882195836404</v>
      </c>
      <c r="D9" s="14" t="n">
        <v>3</v>
      </c>
      <c r="E9" s="10" t="str">
        <f aca="false">IF(C9&gt;=$J$3,"High","Low")</f>
        <v>Low</v>
      </c>
      <c r="F9" s="10" t="str">
        <f aca="false">IF(AND(C9&gt;=$J$3,D9&gt;=$J$4),"Strategic",IF(C9&gt;=$J$3,"Leverage",IF(D9&gt;=$J$4,"Bottleneck","Routine")))</f>
        <v>Bottleneck</v>
      </c>
      <c r="G9" s="10" t="s">
        <v>1294</v>
      </c>
    </row>
    <row r="10" customFormat="false" ht="15" hidden="false" customHeight="false" outlineLevel="0" collapsed="false">
      <c r="A10" s="10" t="s">
        <v>61</v>
      </c>
      <c r="B10" s="20" t="n">
        <f aca="false">SUMIFS(Data!$J$2:$J$1201,Data!$D$2:$D$1201,A10)</f>
        <v>2716056</v>
      </c>
      <c r="C10" s="21" t="n">
        <f aca="false">B10/SUM($B$4:$B$11)</f>
        <v>0.10450027544258</v>
      </c>
      <c r="D10" s="14" t="n">
        <v>2</v>
      </c>
      <c r="E10" s="10" t="str">
        <f aca="false">IF(C10&gt;=$J$3,"High","Low")</f>
        <v>Low</v>
      </c>
      <c r="F10" s="10" t="str">
        <f aca="false">IF(AND(C10&gt;=$J$3,D10&gt;=$J$4),"Strategic",IF(C10&gt;=$J$3,"Leverage",IF(D10&gt;=$J$4,"Bottleneck","Routine")))</f>
        <v>Routine</v>
      </c>
      <c r="G10" s="10" t="s">
        <v>1295</v>
      </c>
    </row>
    <row r="11" customFormat="false" ht="15" hidden="false" customHeight="false" outlineLevel="0" collapsed="false">
      <c r="A11" s="10" t="s">
        <v>111</v>
      </c>
      <c r="B11" s="20" t="n">
        <f aca="false">SUMIFS(Data!$J$2:$J$1201,Data!$D$2:$D$1201,A11)</f>
        <v>944386</v>
      </c>
      <c r="C11" s="21" t="n">
        <f aca="false">B11/SUM($B$4:$B$11)</f>
        <v>0.0363352585970673</v>
      </c>
      <c r="D11" s="14" t="n">
        <v>3</v>
      </c>
      <c r="E11" s="10" t="str">
        <f aca="false">IF(C11&gt;=$J$3,"High","Low")</f>
        <v>Low</v>
      </c>
      <c r="F11" s="10" t="str">
        <f aca="false">IF(AND(C11&gt;=$J$3,D11&gt;=$J$4),"Strategic",IF(C11&gt;=$J$3,"Leverage",IF(D11&gt;=$J$4,"Bottleneck","Routine")))</f>
        <v>Bottleneck</v>
      </c>
      <c r="G11" s="10" t="s">
        <v>1296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3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26.85" hidden="false" customHeight="false" outlineLevel="0" collapsed="false">
      <c r="A1" s="11" t="s">
        <v>24</v>
      </c>
      <c r="B1" s="11" t="s">
        <v>25</v>
      </c>
      <c r="C1" s="11" t="s">
        <v>29</v>
      </c>
      <c r="D1" s="11" t="s">
        <v>9</v>
      </c>
      <c r="E1" s="11" t="s">
        <v>1297</v>
      </c>
      <c r="F1" s="11" t="s">
        <v>1298</v>
      </c>
      <c r="G1" s="11" t="s">
        <v>1299</v>
      </c>
      <c r="H1" s="11" t="s">
        <v>1300</v>
      </c>
      <c r="J1" s="10" t="s">
        <v>1301</v>
      </c>
    </row>
    <row r="2" customFormat="false" ht="15" hidden="false" customHeight="false" outlineLevel="0" collapsed="false">
      <c r="A2" s="10" t="s">
        <v>43</v>
      </c>
      <c r="B2" s="10" t="s">
        <v>44</v>
      </c>
      <c r="C2" s="20" t="n">
        <f aca="false">SUMIFS(Data!$J$2:$J$1201,Data!$E$2:$E$1201,A2)</f>
        <v>5492422</v>
      </c>
      <c r="D2" s="10" t="n">
        <f aca="false">COUNTIFS(Data!$E$2:$E$1201,A2)</f>
        <v>224</v>
      </c>
      <c r="E2" s="21" t="n">
        <f aca="false">AVERAGEIFS(Data!$M$2:$M$1201,Data!$E$2:$E$1201,A2)</f>
        <v>0.959821428571429</v>
      </c>
      <c r="F2" s="21" t="n">
        <f aca="false">AVERAGEIFS(Data!$N$2:$N$1201,Data!$E$2:$E$1201,A2)</f>
        <v>0.0119866071428571</v>
      </c>
      <c r="G2" s="27" t="n">
        <f aca="false">SUMIFS(Data!$K$2:$K$1201,Data!$E$2:$E$1201,A2)/(C2-SUMIFS(Data!$K$2:$K$1201,Data!$E$2:$E$1201,A2))</f>
        <v>0.0341951089267228</v>
      </c>
      <c r="H2" s="10" t="str">
        <f aca="false">IF(AND(E2&gt;=0.95,F2&lt;=0.02),"Strategic",IF(OR(E2&lt;0.88,F2&gt;0.035),"Review / Exit","Develop"))</f>
        <v>Strategic</v>
      </c>
    </row>
    <row r="3" customFormat="false" ht="15" hidden="false" customHeight="false" outlineLevel="0" collapsed="false">
      <c r="A3" s="10" t="s">
        <v>36</v>
      </c>
      <c r="B3" s="10" t="s">
        <v>37</v>
      </c>
      <c r="C3" s="20" t="n">
        <f aca="false">SUMIFS(Data!$J$2:$J$1201,Data!$E$2:$E$1201,A3)</f>
        <v>3420310</v>
      </c>
      <c r="D3" s="10" t="n">
        <f aca="false">COUNTIFS(Data!$E$2:$E$1201,A3)</f>
        <v>142</v>
      </c>
      <c r="E3" s="21" t="n">
        <f aca="false">AVERAGEIFS(Data!$M$2:$M$1201,Data!$E$2:$E$1201,A3)</f>
        <v>0.936619718309859</v>
      </c>
      <c r="F3" s="21" t="n">
        <f aca="false">AVERAGEIFS(Data!$N$2:$N$1201,Data!$E$2:$E$1201,A3)</f>
        <v>0.0180211267605634</v>
      </c>
      <c r="G3" s="27" t="n">
        <f aca="false">SUMIFS(Data!$K$2:$K$1201,Data!$E$2:$E$1201,A3)/(C3-SUMIFS(Data!$K$2:$K$1201,Data!$E$2:$E$1201,A3))</f>
        <v>-0.00309072159780163</v>
      </c>
      <c r="H3" s="10" t="str">
        <f aca="false">IF(AND(E3&gt;=0.95,F3&lt;=0.02),"Strategic",IF(OR(E3&lt;0.88,F3&gt;0.035),"Review / Exit","Develop"))</f>
        <v>Develop</v>
      </c>
    </row>
    <row r="4" customFormat="false" ht="15" hidden="false" customHeight="false" outlineLevel="0" collapsed="false">
      <c r="A4" s="10" t="s">
        <v>54</v>
      </c>
      <c r="B4" s="10" t="s">
        <v>55</v>
      </c>
      <c r="C4" s="20" t="n">
        <f aca="false">SUMIFS(Data!$J$2:$J$1201,Data!$E$2:$E$1201,A4)</f>
        <v>2105166</v>
      </c>
      <c r="D4" s="10" t="n">
        <f aca="false">COUNTIFS(Data!$E$2:$E$1201,A4)</f>
        <v>149</v>
      </c>
      <c r="E4" s="21" t="n">
        <f aca="false">AVERAGEIFS(Data!$M$2:$M$1201,Data!$E$2:$E$1201,A4)</f>
        <v>0.932885906040268</v>
      </c>
      <c r="F4" s="21" t="n">
        <f aca="false">AVERAGEIFS(Data!$N$2:$N$1201,Data!$E$2:$E$1201,A4)</f>
        <v>0.0153020134228188</v>
      </c>
      <c r="G4" s="27" t="n">
        <f aca="false">SUMIFS(Data!$K$2:$K$1201,Data!$E$2:$E$1201,A4)/(C4-SUMIFS(Data!$K$2:$K$1201,Data!$E$2:$E$1201,A4))</f>
        <v>0.0274485266915447</v>
      </c>
      <c r="H4" s="10" t="str">
        <f aca="false">IF(AND(E4&gt;=0.95,F4&lt;=0.02),"Strategic",IF(OR(E4&lt;0.88,F4&gt;0.035),"Review / Exit","Develop"))</f>
        <v>Develop</v>
      </c>
    </row>
    <row r="5" customFormat="false" ht="15" hidden="false" customHeight="false" outlineLevel="0" collapsed="false">
      <c r="A5" s="10" t="s">
        <v>49</v>
      </c>
      <c r="B5" s="10" t="s">
        <v>50</v>
      </c>
      <c r="C5" s="20" t="n">
        <f aca="false">SUMIFS(Data!$J$2:$J$1201,Data!$E$2:$E$1201,A5)</f>
        <v>1965146</v>
      </c>
      <c r="D5" s="10" t="n">
        <f aca="false">COUNTIFS(Data!$E$2:$E$1201,A5)</f>
        <v>108</v>
      </c>
      <c r="E5" s="21" t="n">
        <f aca="false">AVERAGEIFS(Data!$M$2:$M$1201,Data!$E$2:$E$1201,A5)</f>
        <v>0.888888888888889</v>
      </c>
      <c r="F5" s="21" t="n">
        <f aca="false">AVERAGEIFS(Data!$N$2:$N$1201,Data!$E$2:$E$1201,A5)</f>
        <v>0.0305</v>
      </c>
      <c r="G5" s="27" t="n">
        <f aca="false">SUMIFS(Data!$K$2:$K$1201,Data!$E$2:$E$1201,A5)/(C5-SUMIFS(Data!$K$2:$K$1201,Data!$E$2:$E$1201,A5))</f>
        <v>-0.0149397228000702</v>
      </c>
      <c r="H5" s="10" t="str">
        <f aca="false">IF(AND(E5&gt;=0.95,F5&lt;=0.02),"Strategic",IF(OR(E5&lt;0.88,F5&gt;0.035),"Review / Exit","Develop"))</f>
        <v>Develop</v>
      </c>
    </row>
    <row r="6" customFormat="false" ht="15" hidden="false" customHeight="false" outlineLevel="0" collapsed="false">
      <c r="A6" s="10" t="s">
        <v>76</v>
      </c>
      <c r="B6" s="10" t="s">
        <v>77</v>
      </c>
      <c r="C6" s="20" t="n">
        <f aca="false">SUMIFS(Data!$J$2:$J$1201,Data!$E$2:$E$1201,A6)</f>
        <v>3768276</v>
      </c>
      <c r="D6" s="10" t="n">
        <f aca="false">COUNTIFS(Data!$E$2:$E$1201,A6)</f>
        <v>154</v>
      </c>
      <c r="E6" s="21" t="n">
        <f aca="false">AVERAGEIFS(Data!$M$2:$M$1201,Data!$E$2:$E$1201,A6)</f>
        <v>0.961038961038961</v>
      </c>
      <c r="F6" s="21" t="n">
        <f aca="false">AVERAGEIFS(Data!$N$2:$N$1201,Data!$E$2:$E$1201,A6)</f>
        <v>0.0227532467532468</v>
      </c>
      <c r="G6" s="27" t="n">
        <f aca="false">SUMIFS(Data!$K$2:$K$1201,Data!$E$2:$E$1201,A6)/(C6-SUMIFS(Data!$K$2:$K$1201,Data!$E$2:$E$1201,A6))</f>
        <v>0.00615880017408903</v>
      </c>
      <c r="H6" s="10" t="str">
        <f aca="false">IF(AND(E6&gt;=0.95,F6&lt;=0.02),"Strategic",IF(OR(E6&lt;0.88,F6&gt;0.035),"Review / Exit","Develop"))</f>
        <v>Develop</v>
      </c>
    </row>
    <row r="7" customFormat="false" ht="15" hidden="false" customHeight="false" outlineLevel="0" collapsed="false">
      <c r="A7" s="10" t="s">
        <v>46</v>
      </c>
      <c r="B7" s="10" t="s">
        <v>47</v>
      </c>
      <c r="C7" s="20" t="n">
        <f aca="false">SUMIFS(Data!$J$2:$J$1201,Data!$E$2:$E$1201,A7)</f>
        <v>1835486</v>
      </c>
      <c r="D7" s="10" t="n">
        <f aca="false">COUNTIFS(Data!$E$2:$E$1201,A7)</f>
        <v>107</v>
      </c>
      <c r="E7" s="21" t="n">
        <f aca="false">AVERAGEIFS(Data!$M$2:$M$1201,Data!$E$2:$E$1201,A7)</f>
        <v>0.962616822429907</v>
      </c>
      <c r="F7" s="21" t="n">
        <f aca="false">AVERAGEIFS(Data!$N$2:$N$1201,Data!$E$2:$E$1201,A7)</f>
        <v>0.00780373831775701</v>
      </c>
      <c r="G7" s="27" t="n">
        <f aca="false">SUMIFS(Data!$K$2:$K$1201,Data!$E$2:$E$1201,A7)/(C7-SUMIFS(Data!$K$2:$K$1201,Data!$E$2:$E$1201,A7))</f>
        <v>0.0503027618795842</v>
      </c>
      <c r="H7" s="10" t="str">
        <f aca="false">IF(AND(E7&gt;=0.95,F7&lt;=0.02),"Strategic",IF(OR(E7&lt;0.88,F7&gt;0.035),"Review / Exit","Develop"))</f>
        <v>Strategic</v>
      </c>
    </row>
    <row r="8" customFormat="false" ht="15" hidden="false" customHeight="false" outlineLevel="0" collapsed="false">
      <c r="A8" s="10" t="s">
        <v>59</v>
      </c>
      <c r="B8" s="10" t="s">
        <v>55</v>
      </c>
      <c r="C8" s="20" t="n">
        <f aca="false">SUMIFS(Data!$J$2:$J$1201,Data!$E$2:$E$1201,A8)</f>
        <v>1871238</v>
      </c>
      <c r="D8" s="10" t="n">
        <f aca="false">COUNTIFS(Data!$E$2:$E$1201,A8)</f>
        <v>60</v>
      </c>
      <c r="E8" s="21" t="n">
        <f aca="false">AVERAGEIFS(Data!$M$2:$M$1201,Data!$E$2:$E$1201,A8)</f>
        <v>0.95</v>
      </c>
      <c r="F8" s="21" t="n">
        <f aca="false">AVERAGEIFS(Data!$N$2:$N$1201,Data!$E$2:$E$1201,A8)</f>
        <v>0.0213</v>
      </c>
      <c r="G8" s="27" t="n">
        <f aca="false">SUMIFS(Data!$K$2:$K$1201,Data!$E$2:$E$1201,A8)/(C8-SUMIFS(Data!$K$2:$K$1201,Data!$E$2:$E$1201,A8))</f>
        <v>0.0653595515469376</v>
      </c>
      <c r="H8" s="10" t="str">
        <f aca="false">IF(AND(E8&gt;=0.95,F8&lt;=0.02),"Strategic",IF(OR(E8&lt;0.88,F8&gt;0.035),"Review / Exit","Develop"))</f>
        <v>Develop</v>
      </c>
    </row>
    <row r="9" customFormat="false" ht="15" hidden="false" customHeight="false" outlineLevel="0" collapsed="false">
      <c r="A9" s="10" t="s">
        <v>81</v>
      </c>
      <c r="B9" s="10" t="s">
        <v>82</v>
      </c>
      <c r="C9" s="20" t="n">
        <f aca="false">SUMIFS(Data!$J$2:$J$1201,Data!$E$2:$E$1201,A9)</f>
        <v>2459984</v>
      </c>
      <c r="D9" s="10" t="n">
        <f aca="false">COUNTIFS(Data!$E$2:$E$1201,A9)</f>
        <v>110</v>
      </c>
      <c r="E9" s="21" t="n">
        <f aca="false">AVERAGEIFS(Data!$M$2:$M$1201,Data!$E$2:$E$1201,A9)</f>
        <v>0.881818181818182</v>
      </c>
      <c r="F9" s="21" t="n">
        <f aca="false">AVERAGEIFS(Data!$N$2:$N$1201,Data!$E$2:$E$1201,A9)</f>
        <v>0.0331909090909091</v>
      </c>
      <c r="G9" s="27" t="n">
        <f aca="false">SUMIFS(Data!$K$2:$K$1201,Data!$E$2:$E$1201,A9)/(C9-SUMIFS(Data!$K$2:$K$1201,Data!$E$2:$E$1201,A9))</f>
        <v>-0.0277588510090032</v>
      </c>
      <c r="H9" s="10" t="str">
        <f aca="false">IF(AND(E9&gt;=0.95,F9&lt;=0.02),"Strategic",IF(OR(E9&lt;0.88,F9&gt;0.035),"Review / Exit","Develop"))</f>
        <v>Develop</v>
      </c>
    </row>
    <row r="10" customFormat="false" ht="15" hidden="false" customHeight="false" outlineLevel="0" collapsed="false">
      <c r="A10" s="10" t="s">
        <v>92</v>
      </c>
      <c r="B10" s="10" t="s">
        <v>93</v>
      </c>
      <c r="C10" s="20" t="n">
        <f aca="false">SUMIFS(Data!$J$2:$J$1201,Data!$E$2:$E$1201,A10)</f>
        <v>869914</v>
      </c>
      <c r="D10" s="10" t="n">
        <f aca="false">COUNTIFS(Data!$E$2:$E$1201,A10)</f>
        <v>46</v>
      </c>
      <c r="E10" s="21" t="n">
        <f aca="false">AVERAGEIFS(Data!$M$2:$M$1201,Data!$E$2:$E$1201,A10)</f>
        <v>0.869565217391304</v>
      </c>
      <c r="F10" s="21" t="n">
        <f aca="false">AVERAGEIFS(Data!$N$2:$N$1201,Data!$E$2:$E$1201,A10)</f>
        <v>0.0420434782608696</v>
      </c>
      <c r="G10" s="27" t="n">
        <f aca="false">SUMIFS(Data!$K$2:$K$1201,Data!$E$2:$E$1201,A10)/(C10-SUMIFS(Data!$K$2:$K$1201,Data!$E$2:$E$1201,A10))</f>
        <v>-0.057471737608862</v>
      </c>
      <c r="H10" s="10" t="str">
        <f aca="false">IF(AND(E10&gt;=0.95,F10&lt;=0.02),"Strategic",IF(OR(E10&lt;0.88,F10&gt;0.035),"Review / Exit","Develop"))</f>
        <v>Review / Exit</v>
      </c>
    </row>
    <row r="11" customFormat="false" ht="15" hidden="false" customHeight="false" outlineLevel="0" collapsed="false">
      <c r="A11" s="10" t="s">
        <v>40</v>
      </c>
      <c r="B11" s="10" t="s">
        <v>41</v>
      </c>
      <c r="C11" s="20" t="n">
        <f aca="false">SUMIFS(Data!$J$2:$J$1201,Data!$E$2:$E$1201,A11)</f>
        <v>2202956</v>
      </c>
      <c r="D11" s="10" t="n">
        <f aca="false">COUNTIFS(Data!$E$2:$E$1201,A11)</f>
        <v>100</v>
      </c>
      <c r="E11" s="21" t="n">
        <f aca="false">AVERAGEIFS(Data!$M$2:$M$1201,Data!$E$2:$E$1201,A11)</f>
        <v>0.98</v>
      </c>
      <c r="F11" s="21" t="n">
        <f aca="false">AVERAGEIFS(Data!$N$2:$N$1201,Data!$E$2:$E$1201,A11)</f>
        <v>0.01711</v>
      </c>
      <c r="G11" s="27" t="n">
        <f aca="false">SUMIFS(Data!$K$2:$K$1201,Data!$E$2:$E$1201,A11)/(C11-SUMIFS(Data!$K$2:$K$1201,Data!$E$2:$E$1201,A11))</f>
        <v>0.0136568019892549</v>
      </c>
      <c r="H11" s="10" t="str">
        <f aca="false">IF(AND(E11&gt;=0.95,F11&lt;=0.02),"Strategic",IF(OR(E11&lt;0.88,F11&gt;0.035),"Review / Exit","Develop"))</f>
        <v>Strategic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2026-10-22T13:54:35Z</dcterms:created>
  <dc:creator>openpyxl</dc:creator>
  <dc:description/>
  <dc:language>en-US</dc:language>
  <cp:lastModifiedBy/>
  <dcterms:modified xsi:type="dcterms:W3CDTF">2026-10-22T13:54:38Z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